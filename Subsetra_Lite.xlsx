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d\Desktop\"/>
    </mc:Choice>
  </mc:AlternateContent>
  <xr:revisionPtr revIDLastSave="0" documentId="13_ncr:1_{F962F6E8-BC93-46F0-90F3-1FBACEF7BD8E}" xr6:coauthVersionLast="47" xr6:coauthVersionMax="47" xr10:uidLastSave="{00000000-0000-0000-0000-000000000000}"/>
  <bookViews>
    <workbookView xWindow="-120" yWindow="-120" windowWidth="29040" windowHeight="15720" xr2:uid="{EA5FF646-B5A6-4161-80BC-EF2BF147EF32}"/>
  </bookViews>
  <sheets>
    <sheet name="Solver" sheetId="1" r:id="rId1"/>
    <sheet name="README" sheetId="2" r:id="rId7"/>
  </sheets>
  <definedNames>
    <definedName name="_xlnm._FilterDatabase" localSheetId="0" hidden="1">Solver!$A$1:$A$19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 a="1"/>
  <c r="G2" i="1" s="1"/>
  <c r="E4" i="1" a="1"/>
  <c r="E4" i="1" s="1"/>
  <c r="E2" i="1" l="1"/>
  <c r="E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<sst xmlns="http://schemas.openxmlformats.org/spreadsheetml/2006/main" count="8" uniqueCount="8">
  <si>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Transactions</t>
  </si>
  <si>
    <t>Target sum</t>
  </si>
  <si>
    <t>Solution #</t>
  </si>
  <si>
    <t># items</t>
  </si>
  <si>
    <t>Transactions (amounts)</t>
  </si>
  <si>
    <t>Sum (check)</t>
  </si>
  <si>
    <t>Maximum items (k)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</si>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</sst>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₪&quot;\ * #,##0.00_ ;_ &quot;₪&quot;\ * \-#,##0.00_ ;_ &quot;₪&quot;\ * &quot;-&quot;??_ ;_ @_ "/>
  </numFmts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4" fontId="0" fillId="0" borderId="0" xfId="0" applyNumberFormat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3" xfId="0" applyFill="1" applyBorder="1" applyAlignment="1">
      <alignment horizontal="center"/>
    </xf>
    <xf numFmtId="44" fontId="0" fillId="0" borderId="3" xfId="0" applyNumberFormat="1" applyBorder="1"/>
    <xf numFmtId="44" fontId="1" fillId="2" borderId="1" xfId="0" applyNumberFormat="1" applyFont="1" applyFill="1" applyBorder="1"/>
    <xf numFmtId="44" fontId="0" fillId="0" borderId="2" xfId="0" applyNumberForma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4" fontId="1" fillId="2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7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FA6BE6-0AE3-49BA-BBC9-5A00CA5AB7D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cb65940-c7b5-4bd9-af34-e854442d481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96F3-9F4A-4D1A-9B2C-D64FDA9117D1}">
  <dimension ref="A1:J19"/>
  <sheetViews>
    <sheetView tabSelected="1" workbookViewId="0">
      <selection activeCell="C12" sqref="C12"/>
    </sheetView>
  </sheetViews>
  <sheetFormatPr defaultRowHeight="14.25" x14ac:dyDescent="0.2"/>
  <cols>
    <col min="1" max="1" width="9.375" style="1" bestFit="1" customWidth="1"/>
    <col min="2" max="2" width="3.125" customWidth="1"/>
    <col min="3" max="3" width="16.25" bestFit="1" customWidth="1"/>
    <col min="4" max="4" width="3.125" customWidth="1"/>
    <col min="5" max="5" width="50.875" bestFit="1" customWidth="1"/>
    <col min="6" max="6" width="3.125" customWidth="1"/>
    <col min="7" max="7" width="8.625" bestFit="1" customWidth="1"/>
    <col min="8" max="8" width="11" bestFit="1" customWidth="1"/>
    <col min="9" max="9" width="33.125" bestFit="1" customWidth="1"/>
    <col min="10" max="10" width="10.75" style="1" bestFit="1" customWidth="1"/>
  </cols>
  <sheetData>
    <row r="1" spans="1:10" ht="15" x14ac:dyDescent="0.25">
      <c r="A1" s="7" t="s">
        <v>0</v>
      </c>
      <c r="C1" s="2" t="s">
        <v>6</v>
      </c>
      <c r="E1" s="2" t="s">
        <v>7</v>
      </c>
      <c r="G1" s="9" t="s">
        <v>2</v>
      </c>
      <c r="H1" s="10" t="s">
        <v>3</v>
      </c>
      <c r="I1" s="10" t="s">
        <v>4</v>
      </c>
      <c r="J1" s="11" t="s">
        <v>5</v>
      </c>
    </row>
    <row r="2" spans="1:10" x14ac:dyDescent="0.2">
      <c r="A2" s="8">
        <v>-50</v>
      </c>
      <c r="C2" s="5">
        <v>8</v>
      </c>
      <c r="E2" s="3" t="str">
        <f>IFERROR("Total solutions found: "&amp;ROWS(_xlfn.ANCHORARRAY(G2))&amp;" (out of a maximum of 10)","No solutions")</f>
        <v>Total solutions found: 10 (out of a maximum of 10)</v>
      </c>
      <c r="G2" s="12" cm="1">
        <f t="array" ref="G2:J11">_xlfn.LET(_xlpm.raw,_xlfn._xlws.FILTER(A2:A1000,A2:A1000&lt;&gt;""),_xlpm.tgt,C6,_xlpm.tgtI,ROUND(_xlpm.tgt*100,0),_xlpm.intsAll,ROUND(_xlpm.raw*100,0),_xlpm.keepMask,_xlpm.intsAll&lt;=_xlpm.tgtI,_xlpm.ints,_xlfn._xlws.FILTER(_xlpm.intsAll,_xlpm.keepMask),_xlpm.origs,_xlfn._xlws.FILTER(_xlpm.raw,_xlpm.keepMask),_xlpm.n,ROWS(_xlpm.ints),_xlpm.kMax,MIN(C2,_xlpm.n),_xlpm.sortIdx,_xlfn.SORTBY(_xlfn.SEQUENCE(_xlpm.n),_xlpm.ints,-1),_xlpm.sInts,INDEX(_xlpm.ints,_xlpm.sortIdx),_xlpm.sOrigs,INDEX(_xlpm.origs,_xlpm.sortIdx),_xlpm.M,2^_xlpm.n-1,_xlpm.masks,_xlfn.SEQUENCE(_xlpm.M),_xlpm.cols,_xlfn.SEQUENCE(1,_xlpm.n),_xlpm.bits,MOD(INT(_xlpm.masks/2^(_xlpm.cols-1)),2),_xlpm.pc,MMULT(_xlpm.bits,_xlfn.SEQUENCE(_xlpm.n,1,1,0)),_xlpm.sums,MMULT(_xlpm.bits,_xlpm.sInts),_xlpm.keep,(_xlpm.pc&lt;=_xlpm.kMax)*(_xlpm.sums=_xlpm.tgtI),_xlpm.rowIdx,_xlfn.SEQUENCE(_xlpm.M),_xlpm.hitIdx,IFERROR(_xlfn._xlws.FILTER(_xlpm.rowIdx,_xlpm.keep=1),0),_xlpm.hitPc,INDEX(_xlpm.pc,_xlpm.hitIdx),_xlpm.hitMasks,INDEX(_xlpm.masks,_xlpm.hitIdx),_xlpm.ordIdx,_xlfn.SORTBY(_xlfn.SEQUENCE(ROWS(_xlpm.hitIdx)),_xlpm.hitPc,1,_xlpm.hitMasks,-1),_xlpm.topIdx,_xlfn.TAKE(INDEX(_xlpm.hitIdx,_xlpm.ordIdx),10),_xlpm.topPc,INDEX(_xlpm.pc,_xlpm.topIdx),_xlpm.topSums,INDEX(_xlpm.sums,_xlpm.topIdx)/100,_xlpm.cnt,ROWS(_xlpm.topIdx),_xlpm.topMasksOrd,INDEX(_xlpm.masks,_xlpm.topIdx),_xlpm.mkStr,_xlfn.LAMBDA(_xlpm.m,_xlfn.LET(_xlpm.bCol,MOD(INT(_xlpm.m/2^(_xlfn.SEQUENCE(_xlpm.n)-1)),2),_xlpm.picked,_xlfn._xlws.FILTER(_xlpm.sOrigs,_xlpm.bCol=1),_xlpm.pickedDesc,_xlfn._xlws.SORT(_xlpm.picked,,-1),_xlfn.TEXTJOIN(", ",TRUE,_xlpm.pickedDesc))),_xlpm.strs,_xlfn.BYROW(_xlpm.topMasksOrd,_xlfn.LAMBDA(_xlpm.r,_xlpm.mkStr(_xlpm.r))),_xlpm.nums,_xlfn.SEQUENCE(_xlpm.cnt),_xlfn.HSTACK(_xlpm.nums,_xlpm.topPc,_xlpm.strs,_xlpm.topSums))</f>
        <v>1</v>
      </c>
      <c r="H2" s="13">
        <v>4</v>
      </c>
      <c r="I2" s="13" t="str">
        <v>45, 33, 7, -6</v>
      </c>
      <c r="J2" s="14">
        <v>79</v>
      </c>
    </row>
    <row r="3" spans="1:10" x14ac:dyDescent="0.2">
      <c r="A3" s="8">
        <v>-9</v>
      </c>
      <c r="E3" s="3" t="str">
        <f>IF(ROWS(_xlfn.ANCHORARRAY(G2))&gt;=10,"If 10 solutions are shown there may be more — more information is needed to identify the correct one.","")</f>
        <v>If 10 solutions are shown there may be more — more information is needed to identify the correct one.</v>
      </c>
      <c r="G3" s="12">
        <v>2</v>
      </c>
      <c r="H3" s="13">
        <v>4</v>
      </c>
      <c r="I3" s="13" t="str">
        <v>45, 16, 11, 7</v>
      </c>
      <c r="J3" s="14">
        <v>79</v>
      </c>
    </row>
    <row r="4" spans="1:10" x14ac:dyDescent="0.2">
      <c r="A4" s="8">
        <v>-8</v>
      </c>
      <c r="E4" s="4" t="str" cm="1">
        <f t="array" ref="E4">"Values pre-filtered (larger than the target): "&amp;SUMPRODUCT(--(ROUND(_xlfn._xlws.FILTER(A2:A1000,A2:A1000&lt;&gt;"")*100,0)&gt;ROUND(C6*100,0)))</f>
        <v>Values pre-filtered (larger than the target): 2</v>
      </c>
      <c r="G4" s="12">
        <v>3</v>
      </c>
      <c r="H4" s="13">
        <v>4</v>
      </c>
      <c r="I4" s="13" t="str">
        <v>33, 16, 15, 15</v>
      </c>
      <c r="J4" s="14">
        <v>79</v>
      </c>
    </row>
    <row r="5" spans="1:10" ht="15" x14ac:dyDescent="0.25">
      <c r="A5" s="8">
        <v>-7</v>
      </c>
      <c r="C5" s="2" t="s">
        <v>1</v>
      </c>
      <c r="G5" s="12">
        <v>4</v>
      </c>
      <c r="H5" s="13">
        <v>5</v>
      </c>
      <c r="I5" s="13" t="str">
        <v>45, 33, 16, -6, -9</v>
      </c>
      <c r="J5" s="14">
        <v>79</v>
      </c>
    </row>
    <row r="6" spans="1:10" x14ac:dyDescent="0.2">
      <c r="A6" s="8">
        <v>-6</v>
      </c>
      <c r="C6" s="6">
        <v>79</v>
      </c>
      <c r="G6" s="12">
        <v>5</v>
      </c>
      <c r="H6" s="13">
        <v>5</v>
      </c>
      <c r="I6" s="13" t="str">
        <v>45, 33, 15, -5, -9</v>
      </c>
      <c r="J6" s="14">
        <v>79</v>
      </c>
    </row>
    <row r="7" spans="1:10" x14ac:dyDescent="0.2">
      <c r="A7" s="8">
        <v>-5</v>
      </c>
      <c r="G7" s="12">
        <v>6</v>
      </c>
      <c r="H7" s="13">
        <v>5</v>
      </c>
      <c r="I7" s="13" t="str">
        <v>45, 33, 15, -5, -9</v>
      </c>
      <c r="J7" s="14">
        <v>79</v>
      </c>
    </row>
    <row r="8" spans="1:10" x14ac:dyDescent="0.2">
      <c r="A8" s="8">
        <v>-3</v>
      </c>
      <c r="G8" s="12">
        <v>7</v>
      </c>
      <c r="H8" s="13">
        <v>5</v>
      </c>
      <c r="I8" s="13" t="str">
        <v>45, 33, 11, -1, -9</v>
      </c>
      <c r="J8" s="14">
        <v>79</v>
      </c>
    </row>
    <row r="9" spans="1:10" x14ac:dyDescent="0.2">
      <c r="A9" s="8">
        <v>-2</v>
      </c>
      <c r="G9" s="12">
        <v>8</v>
      </c>
      <c r="H9" s="13">
        <v>5</v>
      </c>
      <c r="I9" s="13" t="str">
        <v>45, 33, 16, -7, -8</v>
      </c>
      <c r="J9" s="14">
        <v>79</v>
      </c>
    </row>
    <row r="10" spans="1:10" x14ac:dyDescent="0.2">
      <c r="A10" s="8">
        <v>-1</v>
      </c>
      <c r="G10" s="12">
        <v>9</v>
      </c>
      <c r="H10" s="13">
        <v>5</v>
      </c>
      <c r="I10" s="13" t="str">
        <v>45, 33, 15, -6, -8</v>
      </c>
      <c r="J10" s="14">
        <v>79</v>
      </c>
    </row>
    <row r="11" spans="1:10" x14ac:dyDescent="0.2">
      <c r="A11" s="8">
        <v>7</v>
      </c>
      <c r="G11" s="15">
        <v>10</v>
      </c>
      <c r="H11" s="16">
        <v>5</v>
      </c>
      <c r="I11" s="16" t="str">
        <v>45, 33, 15, -6, -8</v>
      </c>
      <c r="J11" s="17">
        <v>79</v>
      </c>
    </row>
    <row r="12" spans="1:10" x14ac:dyDescent="0.2">
      <c r="A12" s="8">
        <v>11</v>
      </c>
    </row>
    <row r="13" spans="1:10" x14ac:dyDescent="0.2">
      <c r="A13" s="8">
        <v>15</v>
      </c>
    </row>
    <row r="14" spans="1:10" x14ac:dyDescent="0.2">
      <c r="A14" s="8">
        <v>15</v>
      </c>
    </row>
    <row r="15" spans="1:10" x14ac:dyDescent="0.2">
      <c r="A15" s="8">
        <v>16</v>
      </c>
    </row>
    <row r="16" spans="1:10" x14ac:dyDescent="0.2">
      <c r="A16" s="8">
        <v>33</v>
      </c>
    </row>
    <row r="17" spans="1:1" x14ac:dyDescent="0.2">
      <c r="A17" s="8">
        <v>45</v>
      </c>
    </row>
    <row r="18" spans="1:1" x14ac:dyDescent="0.2">
      <c r="A18" s="8">
        <v>130</v>
      </c>
    </row>
    <row r="19" spans="1:1" x14ac:dyDescent="0.2">
      <c r="A19" s="6">
        <v>500</v>
      </c>
    </row>
  </sheetData>
  <autoFilter ref="A1:A19" xr:uid="{CCB696F3-9F4A-4D1A-9B2C-D64FDA9117D1}">
    <sortState xmlns:xlrd2="http://schemas.microsoft.com/office/spreadsheetml/2017/richdata2" ref="A2:A19">
      <sortCondition ref="A1:A1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4.25"/>
  <cols>
    <col min="1" max="1" width="110" customWidth="1"/>
  </cols>
  <sheetData>
    <row r="1">
      <c r="A1" t="inlineStr">
        <is>
          <t xml:space="preserve">Subsetra Lite — Excel-formula demo</t>
        </is>
      </c>
    </row>
    <row r="2"/>
    <row r="3">
      <c r="A3" t="inlineStr">
        <is>
          <t xml:space="preserve">This workbook is a formula-only demo of Subsetra. A single dynamic-array formula (Solver sheet, cell G2) solves the subset-sum problem — no macros, no add-ins.</t>
        </is>
      </c>
    </row>
    <row r="4"/>
    <row r="5">
      <c r="A5" t="inlineStr">
        <is>
          <t xml:space="preserve">How to use (on the "Solver" sheet):</t>
        </is>
      </c>
    </row>
    <row r="6">
      <c r="A6" t="inlineStr">
        <is>
          <t xml:space="preserve">1. Enter your amounts in column A, from cell A2 downward.</t>
        </is>
      </c>
    </row>
    <row r="7">
      <c r="A7" t="inlineStr">
        <is>
          <t xml:space="preserve">2. Enter the maximum number of items per solution in cell C2.</t>
        </is>
      </c>
    </row>
    <row r="8">
      <c r="A8" t="inlineStr">
        <is>
          <t xml:space="preserve">3. Enter the target sum in cell C6.</t>
        </is>
      </c>
    </row>
    <row r="9">
      <c r="A9" t="inlineStr">
        <is>
          <t xml:space="preserve">4. The results appear automatically in G2:J11 (up to the 10 shortest solutions).</t>
        </is>
      </c>
    </row>
    <row r="10"/>
    <row r="11">
      <c r="A11" t="inlineStr">
        <is>
          <t xml:space="preserve">Requirements: Microsoft Excel 365 or Excel 2021+ (it uses LET, LAMBDA, FILTER, SEQUENCE, BYROW, SORTBY, TAKE, HSTACK). It will not work in older Excel versions or in Google Sheets.</t>
        </is>
      </c>
    </row>
    <row r="12"/>
    <row r="13">
      <c r="A13" t="inlineStr">
        <is>
          <t xml:space="preserve">Limitations: this demo enumerates all 2^n subsets, so it is practical only for short lists (roughly up to ~20 amounts). For 50–200+ amounts, use the full Subsetra desktop app — see the project README.</t>
        </is>
      </c>
    </row>
    <row r="14"/>
    <row r="15">
      <c r="A15" t="inlineStr">
        <is>
          <t xml:space="preserve">Amounts are matched to two decimal places (minor units). Values larger than the target are ignored automatically.</t>
        </is>
      </c>
    </row>
    <row r="16"/>
    <row r="17">
      <c r="A17" t="inlineStr">
        <is>
          <t xml:space="preserve">Project: https://github.com/dafnielad-lab/SubSetra</t>
        </is>
      </c>
    </row>
    <row r="18">
      <c r="A18" t="inlineStr">
        <is>
          <t xml:space="preserve">License: MIT.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Solver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Elad.d Layogev</dc:creator>
  <cp:lastModifiedBy>Elad.d Layogev</cp:lastModifiedBy>
  <dcterms:created xsi:type="dcterms:W3CDTF">2026-05-22T05:58:46Z</dcterms:created>
  <dcterms:modified xsi:type="dcterms:W3CDTF">2026-05-22T07:31:34Z</dcterms:modified>
</cp:coreProperties>
</file>