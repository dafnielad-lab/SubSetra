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PY\Subsetra\"/>
    </mc:Choice>
  </mc:AlternateContent>
  <xr:revisionPtr revIDLastSave="0" documentId="13_ncr:1_{D5F097B6-D133-40B0-96E2-F9FAB213A59D}" xr6:coauthVersionLast="47" xr6:coauthVersionMax="47" xr10:uidLastSave="{00000000-0000-0000-0000-000000000000}"/>
  <bookViews>
    <workbookView xWindow="-120" yWindow="-120" windowWidth="29040" windowHeight="15720" xr2:uid="{EA5FF646-B5A6-4161-80BC-EF2BF147EF32}"/>
  </bookViews>
  <sheets>
    <sheet name="Solver" sheetId="1" r:id="rId1"/>
    <sheet name="README" sheetId="2" r:id="rId2"/>
    <sheet name="How it works" sheetId="3" r:id="rId3"/>
    <sheet name="Formula breakdown" sheetId="4" r:id="rId4"/>
  </sheets>
  <definedNames>
    <definedName name="_xlnm._FilterDatabase" localSheetId="0" hidden="1">Solver!$A$1:$A$19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2" i="4" l="1" a="1"/>
  <c r="H2" i="4"/>
  <c r="I2" i="4" s="1"/>
  <c r="E4" i="4" a="1"/>
  <c r="E4" i="4" s="1"/>
  <c r="G2" i="1" a="1"/>
  <c r="G2" i="1" s="1"/>
  <c r="E4" i="1" a="1"/>
  <c r="E4" i="1" s="1"/>
  <c r="G2" i="4" l="1"/>
  <c r="J2" i="4" s="1" a="1"/>
  <c r="E2" i="1"/>
  <c r="E3" i="1"/>
  <c r="J2" i="4" l="1"/>
  <c r="K2" i="4" a="1"/>
  <c r="K2" i="4" s="1"/>
  <c r="L2" i="4" s="1" a="1"/>
  <c r="L2" i="4" s="1"/>
  <c r="M2" i="4" l="1" a="1"/>
  <c r="M2" i="4" s="1"/>
  <c r="N2" i="4" a="1"/>
  <c r="N2" i="4" s="1"/>
  <c r="O2" i="4" l="1"/>
  <c r="P2" i="4" s="1"/>
  <c r="Q2" i="4" l="1" a="1"/>
  <c r="Q2" i="4" s="1"/>
  <c r="S2" i="4" l="1" a="1"/>
  <c r="S2" i="4" s="1"/>
  <c r="R2" i="4" a="1"/>
  <c r="R2" i="4" s="1"/>
  <c r="U2" i="4" a="1"/>
  <c r="U2" i="4" l="1"/>
  <c r="E3" i="4"/>
  <c r="E2"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<sst xmlns="http://schemas.openxmlformats.org/spreadsheetml/2006/main" count="86" uniqueCount="79">
  <si>
    <t>Transactions</t>
  </si>
  <si>
    <t>Target sum</t>
  </si>
  <si>
    <t>Solution #</t>
  </si>
  <si>
    <t># items</t>
  </si>
  <si>
    <t>Transactions (amounts)</t>
  </si>
  <si>
    <t>Sum (check)</t>
  </si>
  <si>
    <t>Maximum items (k)</t>
  </si>
  <si>
    <t>Info</t>
  </si>
  <si>
    <t>Subsetra Lite — Excel-formula demo</t>
  </si>
  <si>
    <t>How to use (on the "Solver" sheet):</t>
  </si>
  <si>
    <t>1. Enter your amounts in column A, from cell A2 downward.</t>
  </si>
  <si>
    <t>2. Enter the maximum number of items per solution in cell C2.</t>
  </si>
  <si>
    <t>3. Enter the target sum in cell C6.</t>
  </si>
  <si>
    <t>4. The results appear automatically in G2:J11 (up to the 10 shortest solutions).</t>
  </si>
  <si>
    <t>Requirements: Microsoft Excel 365 or Excel 2021+ (it uses LET, LAMBDA, FILTER, SEQUENCE, BYROW, SORTBY, TAKE, HSTACK). It will not work in older Excel versions or in Google Sheets.</t>
  </si>
  <si>
    <t>Project: https://github.com/dafnielad-lab/SubSetra</t>
  </si>
  <si>
    <t>License: MIT.</t>
  </si>
  <si>
    <t>How it works — the Subsetra Lite formula explained</t>
  </si>
  <si>
    <t>OVERVIEW</t>
  </si>
  <si>
    <t>PRINCIPLE 1 — Work in integer 'cents' (exact money math)</t>
  </si>
  <si>
    <t>Floating-point money math is unreliable (0.10 + 0.20 is not exactly 0.30). Every amount and the target are multiplied by 100 and ROUNDed to whole numbers, so all comparisons are exact integer arithmetic.    LET vars: tgtI, intsAll.</t>
  </si>
  <si>
    <t>PRINCIPLE 2 — Pre-filter</t>
  </si>
  <si>
    <t>Items that provably cannot be part of any solution are dropped up front with FILTER, which shrinks n. A value is removed only if it is greater than target minus the sum of all negatives (that is, greater than target plus the magnitude of all negative values), meaning even adding every available negative still cannot bring it down to the target. This keeps the pre-filter correct when negative amounts are present.    LET vars: negSum, keepMask, ints, origs.</t>
  </si>
  <si>
    <t>PRINCIPLE 3 — Enumerate every subset as a bit mask</t>
  </si>
  <si>
    <t>With n items there are 2^n - 1 non-empty subsets. SEQUENCE(2^n - 1) lists them as the integers 1..M; the binary digits of each integer say which items are in that subset. MOD(INT(mask / 2^(col-1)), 2) expands the masks into an M-by-n matrix of 0/1 bits.    LET vars: M, masks, cols, bits.</t>
  </si>
  <si>
    <t>PRINCIPLE 4 — Score all subsets at once with MMULT  (the key idea)</t>
  </si>
  <si>
    <t>Two matrix multiplications score every subset simultaneously:</t>
  </si>
  <si>
    <t xml:space="preserve">    - subset size = bits x (a column of ones)   = MMULT(bits, ones)</t>
  </si>
  <si>
    <t xml:space="preserve">    - subset sum  = bits x (the sorted amounts)  = MMULT(bits, sInts)</t>
  </si>
  <si>
    <t>This is the heart of the formula: instead of looping, a single MMULT computes all 2^n subset sums in one step.    LET vars: pc (sizes), sums.</t>
  </si>
  <si>
    <t>PRINCIPLE 5 — Keep exact matches within the size cap</t>
  </si>
  <si>
    <t>keep = (size &lt;= kMax) AND (sum = target). FILTER returns the row indices of the matching subsets.    LET vars: keep, hitIdx;  kMax = MIN(C2, n).</t>
  </si>
  <si>
    <t>PRINCIPLE 6 — Shortest solutions first</t>
  </si>
  <si>
    <t>SORTBY orders the matches by size ascending (ties broken by mask, for stable output), then TAKE keeps the first 10.    LET vars: ordIdx, topIdx.</t>
  </si>
  <si>
    <t>PRINCIPLE 7 — Render each solution as text</t>
  </si>
  <si>
    <t>For each kept mask, a LAMBDA (mkStr) rebuilds the chosen original amounts, sorts them descending, and TEXTJOINs them into 'a, b, c'. BYROW applies it to every solution. Finally HSTACK assembles the four output columns: number, item count, the amounts, and the verified sum.    LET vars: mkStr, strs.</t>
  </si>
  <si>
    <t>FUNCTIONS USED</t>
  </si>
  <si>
    <t>LET, LAMBDA, BYROW, FILTER, SORT, SORTBY, SEQUENCE, INDEX, MMULT, MOD, INT, ROUND, ROWS, MIN, TAKE, HSTACK, TEXTJOIN, IFERROR, and ANCHORARRAY (the # spilled-range reference used by the Info cells).</t>
  </si>
  <si>
    <t>WHY IT IS 'LITE' (limits)</t>
  </si>
  <si>
    <t>Project: https://github.com/dafnielad-lab/SubSetra      License: MIT</t>
  </si>
  <si>
    <t>This workbook is a formula-only demo of Subsetra. A single dynamic-array formula (Solver sheet, cell G2) explores subset-sum style matching — no macros, no add-ins.</t>
  </si>
  <si>
    <t>Amounts are matched to two decimal places (minor units). A value is filtered out only when it provably cannot reach the target (even after adding every negative), so negative amounts are handled correctly.</t>
  </si>
  <si>
    <t>The project originated from transaction reconciliation / grouped-entry matching workflows.</t>
  </si>
  <si>
    <t>Limitations: this demo enumerates all 2^n subsets, so it is practical only for short lists (roughly up to ~20 amounts). For larger datasets and more advanced pruning strategies, see the full Subsetra desktop project.</t>
  </si>
  <si>
    <t>The Solver sheet uses ONE dynamic-array formula (cell G2) — no macros, no helper columns, and no add-ins. It demonstrates a brute-force subset-sum style matching approach directly inside Excel by generating and evaluating combinations of the input amounts to find exact matches for a target value. The demo is designed for short normalized lists and educational / experimental use, illustrating both the power and the computational limits of formula-based exhaustive search in Excel.</t>
  </si>
  <si>
    <t>Brute force is O(2^n): n = 20 already means about 1 million rows, near Excel's practical calculation limit; beyond that it is not feasible. It is ideal for understanding the problem and for short lists. For larger datasets, the full Subsetra app uses integer branch-and-bound with a cents / whole-unit decomposition to avoid enumerating everything.</t>
  </si>
  <si>
    <t>(LAMBDA inline in U2)</t>
  </si>
  <si>
    <t>Amounts</t>
  </si>
  <si>
    <t>Target</t>
  </si>
  <si>
    <t>Target (cents)</t>
  </si>
  <si>
    <t>In cents</t>
  </si>
  <si>
    <t>Neg. sum</t>
  </si>
  <si>
    <t>Keep?</t>
  </si>
  <si>
    <t>Kept (cents)</t>
  </si>
  <si>
    <t>Kept</t>
  </si>
  <si>
    <t># kept</t>
  </si>
  <si>
    <t>Max items</t>
  </si>
  <si>
    <t>Sort order</t>
  </si>
  <si>
    <t>Sorted (cents)</t>
  </si>
  <si>
    <t>Sorted</t>
  </si>
  <si>
    <t>Subsets</t>
  </si>
  <si>
    <t>Sum</t>
  </si>
  <si>
    <t>What each column means (left to right):</t>
  </si>
  <si>
    <t>G  Amounts — the non-blank values read from column A (FILTER).</t>
  </si>
  <si>
    <t>H  Target — the target sum, from cell C6.</t>
  </si>
  <si>
    <t>I  Target (cents) — target multiplied by 100 and rounded, for exact integer math.</t>
  </si>
  <si>
    <t>J  In cents — every amount multiplied by 100 and rounded.</t>
  </si>
  <si>
    <t>K  Neg. sum — the total of all negative amounts (0 or less).</t>
  </si>
  <si>
    <t>L  Keep? — TRUE for amounts worth keeping. A value is dropped only if it is so large that even adding every negative still cannot reach the target (this is what makes negative amounts work).</t>
  </si>
  <si>
    <t>M  Kept (cents) — the kept amounts, in cents (FILTER by Keep?).</t>
  </si>
  <si>
    <t>N  Kept — the same kept amounts as their original values.</t>
  </si>
  <si>
    <t>O  # kept — how many amounts were kept (ROWS).</t>
  </si>
  <si>
    <t>P  Max items — the most items allowed in one solution: MIN(C2, # kept).</t>
  </si>
  <si>
    <t>Q  Sort order — the order that sorts the kept items from high to low (SORTBY).</t>
  </si>
  <si>
    <t>R  Sorted (cents) — kept cent amounts, sorted descending (INDEX).</t>
  </si>
  <si>
    <t>S  Sorted — kept original amounts, sorted descending.</t>
  </si>
  <si>
    <t>T  Subsets — the rest of the algorithm (build every subset, score them all at once with MMULT, keep the exact matches, take the 10 shortest) runs inside the single formula in cell U2. Those arrays have 2^n rows, too tall to show one per cell — see the 'How it works' sheet.</t>
  </si>
  <si>
    <t>U–X  Output — the 10 shortest solutions: U = number, V = number of items, W = the transactions, X = the verified sum.</t>
  </si>
  <si>
    <t>Tip: click cell U2 to read the full combinatorial formula; click any spilled cell (e.g. G2) to see its formula.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</si>
</sst>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43" formatCode="_ * #,##0.00_ ;_ * \-#,##0.00_ ;_ * &quot;-&quot;??_ ;_ @_ "/>
  </numFmts>
  <fonts count="5" x14ac:knownFonts="1">
    <font>
      <sz val="11"/>
      <color theme="1"/>
      <name val="Arial"/>
      <family val="2"/>
      <charset val="177"/>
      <scheme val="minor"/>
    </font>
    <font>
      <b/>
      <sz val="11"/>
      <color theme="0"/>
      <name val="Arial"/>
      <family val="2"/>
      <scheme val="minor"/>
    </font>
    <font>
      <sz val="11"/>
      <color theme="1"/>
      <name val="Arial"/>
      <family val="2"/>
      <charset val="177"/>
      <scheme val="minor"/>
    </font>
    <font>
      <b/>
      <sz val="11"/>
      <color rgb="FFFFFFFF"/>
      <name val="Arial"/>
      <family val="2"/>
      <scheme val="minor"/>
    </font>
    <font>
      <i/>
      <sz val="11"/>
      <color rgb="FF888888"/>
      <name val="Arial"/>
      <family val="2"/>
      <charset val="177"/>
      <scheme val="minor"/>
    </font>
  </fonts>
  <fills count="4">
    <fill>
      <patternFill patternType="none"/>
    </fill>
    <fill>
      <patternFill patternType="gray125"/>
    </fill>
    <fill>
      <patternFill patternType="solid">
        <fgColor theme="3" tint="0.499984740745262"/>
        <bgColor indexed="64"/>
      </patternFill>
    </fill>
    <fill>
      <patternFill patternType="solid">
        <fgColor rgb="FF4D93D9"/>
        <bgColor indexed="64"/>
      </patternFill>
    </fill>
  </fills>
  <borders count="12">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44" fontId="2" fillId="0" borderId="0" applyFont="0" applyFill="0" applyBorder="0" applyAlignment="0" applyProtection="0"/>
  </cellStyleXfs>
  <cellXfs count="34">
    <xf numFmtId="0" fontId="0" fillId="0" borderId="0" xfId="0"/>
    <xf numFmtId="44" fontId="0" fillId="0" borderId="0" xfId="0" applyNumberFormat="1"/>
    <xf numFmtId="0" fontId="0" fillId="0" borderId="2" xfId="0" applyBorder="1"/>
    <xf numFmtId="0" fontId="0" fillId="0" borderId="3" xfId="0" applyBorder="1"/>
    <xf numFmtId="0" fontId="0" fillId="0" borderId="3" xfId="0" applyBorder="1" applyAlignment="1">
      <alignment horizontal="center"/>
    </xf>
    <xf numFmtId="0" fontId="0" fillId="0" borderId="7" xfId="0" applyBorder="1" applyAlignment="1">
      <alignment horizontal="center" vertical="center"/>
    </xf>
    <xf numFmtId="0" fontId="0" fillId="0" borderId="0" xfId="0"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43" fontId="0" fillId="0" borderId="8" xfId="1" applyNumberFormat="1" applyFont="1" applyBorder="1" applyAlignment="1">
      <alignment horizontal="center" vertical="center"/>
    </xf>
    <xf numFmtId="43" fontId="0" fillId="0" borderId="11" xfId="1" applyNumberFormat="1" applyFont="1" applyBorder="1" applyAlignment="1">
      <alignment horizontal="center" vertical="center"/>
    </xf>
    <xf numFmtId="43" fontId="0" fillId="0" borderId="2" xfId="0" applyNumberFormat="1" applyBorder="1"/>
    <xf numFmtId="43" fontId="0" fillId="0" borderId="3" xfId="0" applyNumberFormat="1" applyBorder="1"/>
    <xf numFmtId="0" fontId="0" fillId="0" borderId="0" xfId="0" applyAlignment="1">
      <alignment wrapText="1"/>
    </xf>
    <xf numFmtId="0" fontId="1" fillId="2" borderId="5" xfId="0" applyFont="1" applyFill="1" applyBorder="1" applyAlignment="1">
      <alignment horizontal="left" vertical="center"/>
    </xf>
    <xf numFmtId="0" fontId="0" fillId="0" borderId="0" xfId="0" applyAlignment="1">
      <alignment horizontal="left" vertical="center"/>
    </xf>
    <xf numFmtId="0" fontId="0" fillId="0" borderId="10" xfId="0" applyBorder="1" applyAlignment="1">
      <alignment horizontal="left" vertical="center"/>
    </xf>
    <xf numFmtId="0" fontId="0" fillId="0" borderId="0" xfId="0" applyAlignment="1">
      <alignment horizontal="left"/>
    </xf>
    <xf numFmtId="44" fontId="0" fillId="0" borderId="0" xfId="1" applyFont="1" applyAlignment="1">
      <alignment horizontal="center"/>
    </xf>
    <xf numFmtId="44" fontId="1" fillId="2" borderId="1" xfId="0" applyNumberFormat="1" applyFont="1" applyFill="1" applyBorder="1" applyAlignment="1">
      <alignment vertical="center"/>
    </xf>
    <xf numFmtId="0" fontId="0" fillId="0" borderId="0" xfId="0" applyAlignment="1">
      <alignment vertical="center"/>
    </xf>
    <xf numFmtId="0" fontId="1" fillId="2" borderId="4" xfId="0" applyFont="1" applyFill="1" applyBorder="1" applyAlignment="1">
      <alignment horizontal="center" vertical="center" readingOrder="1"/>
    </xf>
    <xf numFmtId="0" fontId="1" fillId="2" borderId="5" xfId="0" applyFont="1" applyFill="1" applyBorder="1" applyAlignment="1">
      <alignment horizontal="center" vertical="center" readingOrder="1"/>
    </xf>
    <xf numFmtId="44" fontId="1" fillId="2" borderId="6" xfId="1" applyFont="1" applyFill="1" applyBorder="1" applyAlignment="1">
      <alignment horizontal="center" vertical="center" wrapText="1"/>
    </xf>
    <xf numFmtId="0" fontId="1" fillId="2" borderId="1" xfId="0" applyFont="1" applyFill="1" applyBorder="1" applyAlignment="1">
      <alignment horizontal="center" vertical="center"/>
    </xf>
    <xf numFmtId="0" fontId="0" fillId="0" borderId="0" xfId="0" applyAlignment="1">
      <alignment horizontal="center"/>
    </xf>
    <xf numFmtId="0" fontId="1" fillId="2" borderId="1" xfId="0" applyFont="1" applyFill="1" applyBorder="1" applyAlignment="1">
      <alignment horizontal="center"/>
    </xf>
    <xf numFmtId="43" fontId="0" fillId="0" borderId="3" xfId="0" applyNumberFormat="1" applyBorder="1" applyAlignment="1">
      <alignment horizontal="center"/>
    </xf>
    <xf numFmtId="0" fontId="3" fillId="3" borderId="0" xfId="0" applyFont="1" applyFill="1" applyAlignment="1">
      <alignment horizontal="center" vertical="center"/>
    </xf>
    <xf numFmtId="0" fontId="4" fillId="0" borderId="0" xfId="0" applyFont="1" applyAlignment="1">
      <alignment horizontal="center"/>
    </xf>
    <xf numFmtId="0" fontId="3" fillId="3" borderId="5" xfId="0" applyFont="1" applyFill="1" applyBorder="1" applyAlignment="1">
      <alignment horizontal="center" vertical="center" readingOrder="1"/>
    </xf>
    <xf numFmtId="0" fontId="3" fillId="3" borderId="5" xfId="0" applyFont="1" applyFill="1" applyBorder="1" applyAlignment="1">
      <alignment horizontal="center" vertical="center"/>
    </xf>
    <xf numFmtId="44" fontId="3" fillId="3" borderId="6" xfId="1" applyFont="1" applyFill="1" applyBorder="1" applyAlignment="1">
      <alignment horizontal="center" vertical="center" wrapText="1"/>
    </xf>
    <xf numFmtId="0" fontId="1" fillId="0" borderId="0" xfId="0" applyFont="1" applyAlignment="1">
      <alignment horizontal="center" vertical="center"/>
    </xf>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82"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BFA6BE6-0AE3-49BA-BBC9-5A00CA5AB7DC}">
  <we:reference id="WA200009404" version="1.0.0.8" store="Omex" storeType="OMEX"/>
  <we:alternateReferences>
    <we:reference id="WA200009404" version="1.0.0.8" store="WA200009404" storeType="OMEX"/>
  </we:alternateReferences>
  <we:properties>
    <we:property name="claude.fileId" value="&quot;bcb65940-c7b5-4bd9-af34-e854442d481f&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696F3-9F4A-4D1A-9B2C-D64FDA9117D1}">
  <dimension ref="A1:J19"/>
  <sheetViews>
    <sheetView tabSelected="1" workbookViewId="0">
      <selection activeCell="G2" sqref="G2"/>
    </sheetView>
  </sheetViews>
  <sheetFormatPr defaultRowHeight="14.25" x14ac:dyDescent="0.2"/>
  <cols>
    <col min="1" max="1" width="15.5" style="1" bestFit="1" customWidth="1"/>
    <col min="2" max="2" width="3.125" customWidth="1"/>
    <col min="3" max="3" width="17.375" style="25" bestFit="1" customWidth="1"/>
    <col min="4" max="4" width="3.125" customWidth="1"/>
    <col min="5" max="5" width="85.5" bestFit="1" customWidth="1"/>
    <col min="6" max="6" width="3.125" customWidth="1"/>
    <col min="7" max="7" width="10.5" customWidth="1"/>
    <col min="8" max="8" width="9.625" customWidth="1"/>
    <col min="9" max="9" width="29.25" style="17" customWidth="1"/>
    <col min="10" max="10" width="10.25" style="18" customWidth="1"/>
  </cols>
  <sheetData>
    <row r="1" spans="1:10" s="20" customFormat="1" ht="34.5" customHeight="1" x14ac:dyDescent="0.2">
      <c r="A1" s="19" t="s">
        <v>0</v>
      </c>
      <c r="C1" s="24" t="s">
        <v>6</v>
      </c>
      <c r="E1" s="24" t="s">
        <v>7</v>
      </c>
      <c r="G1" s="21" t="s">
        <v>2</v>
      </c>
      <c r="H1" s="22" t="s">
        <v>3</v>
      </c>
      <c r="I1" s="14" t="s">
        <v>4</v>
      </c>
      <c r="J1" s="23" t="s">
        <v>5</v>
      </c>
    </row>
    <row r="2" spans="1:10" x14ac:dyDescent="0.2">
      <c r="A2" s="11">
        <v>-50</v>
      </c>
      <c r="C2" s="4">
        <v>8</v>
      </c>
      <c r="E2" s="2" t="str">
        <f>IFERROR("Total solutions found: "&amp;ROWS(_xlfn.ANCHORARRAY(G2))&amp;" (out of a maximum of 10)","No solutions")</f>
        <v>Total solutions found: 10 (out of a maximum of 10)</v>
      </c>
      <c r="G2" s="5" cm="1">
        <f t="array" ref="G2:J11">_xlfn.LET(_xlpm.raw,_xlfn._xlws.FILTER(A2:A1000,A2:A1000&lt;&gt;""),_xlpm.tgt,C6,_xlpm.tgtI,ROUND(_xlpm.tgt*100,0),_xlpm.intsAll,ROUND(_xlpm.raw*100,0),_xlpm.negSum,SUM((_xlpm.intsAll&lt;0)*_xlpm.intsAll),_xlpm.keepMask,_xlpm.intsAll&lt;=_xlpm.tgtI-_xlpm.negSum,_xlpm.ints,_xlfn._xlws.FILTER(_xlpm.intsAll,_xlpm.keepMask),_xlpm.origs,_xlfn._xlws.FILTER(_xlpm.raw,_xlpm.keepMask),_xlpm.n,ROWS(_xlpm.ints),_xlpm.kMax,MIN(C2,_xlpm.n),_xlpm.sortIdx,_xlfn.SORTBY(_xlfn.SEQUENCE(_xlpm.n),_xlpm.ints,-1),_xlpm.sInts,INDEX(_xlpm.ints,_xlpm.sortIdx),_xlpm.sOrigs,INDEX(_xlpm.origs,_xlpm.sortIdx),_xlpm.M,2^_xlpm.n-1,_xlpm.masks,_xlfn.SEQUENCE(_xlpm.M),_xlpm.cols,_xlfn.SEQUENCE(1,_xlpm.n),_xlpm.bits,MOD(INT(_xlpm.masks/2^(_xlpm.cols-1)),2),_xlpm.pc,MMULT(_xlpm.bits,_xlfn.SEQUENCE(_xlpm.n,1,1,0)),_xlpm.sums,MMULT(_xlpm.bits,_xlpm.sInts),_xlpm.keep,(_xlpm.pc&lt;=_xlpm.kMax)*(_xlpm.sums=_xlpm.tgtI),_xlpm.rowIdx,_xlfn.SEQUENCE(_xlpm.M),_xlpm.hitIdx,IFERROR(_xlfn._xlws.FILTER(_xlpm.rowIdx,_xlpm.keep=1),0),_xlpm.hitPc,INDEX(_xlpm.pc,_xlpm.hitIdx),_xlpm.hitMasks,INDEX(_xlpm.masks,_xlpm.hitIdx),_xlpm.ordIdx,_xlfn.SORTBY(_xlfn.SEQUENCE(ROWS(_xlpm.hitIdx)),_xlpm.hitPc,1,_xlpm.hitMasks,-1),_xlpm.topIdx,_xlfn.TAKE(INDEX(_xlpm.hitIdx,_xlpm.ordIdx),10),_xlpm.topPc,INDEX(_xlpm.pc,_xlpm.topIdx),_xlpm.topSums,INDEX(_xlpm.sums,_xlpm.topIdx)/100,_xlpm.cnt,ROWS(_xlpm.topIdx),_xlpm.topMasksOrd,INDEX(_xlpm.masks,_xlpm.topIdx),_xlpm.mkStr,_xlfn.LAMBDA(_xlpm.m,_xlfn.LET(_xlpm.bCol,MOD(INT(_xlpm.m/2^(_xlfn.SEQUENCE(_xlpm.n)-1)),2),_xlpm.picked,_xlfn._xlws.FILTER(_xlpm.sOrigs,_xlpm.bCol=1),_xlpm.pickedDesc,_xlfn._xlws.SORT(_xlpm.picked,,-1),_xlfn.TEXTJOIN(", ",TRUE,_xlpm.pickedDesc))),_xlpm.strs,_xlfn.BYROW(_xlpm.topMasksOrd,_xlfn.LAMBDA(_xlpm.r,_xlpm.mkStr(_xlpm.r))),_xlpm.nums,_xlfn.SEQUENCE(_xlpm.cnt),_xlfn.HSTACK(_xlpm.nums,_xlpm.topPc,_xlpm.strs,_xlpm.topSums))</f>
        <v>1</v>
      </c>
      <c r="H2" s="6">
        <v>4</v>
      </c>
      <c r="I2" s="15" t="str">
        <v>45, 33, 7, -6</v>
      </c>
      <c r="J2" s="9">
        <v>79</v>
      </c>
    </row>
    <row r="3" spans="1:10" x14ac:dyDescent="0.2">
      <c r="A3" s="11">
        <v>-9</v>
      </c>
      <c r="E3" s="2" t="str">
        <f>IF(ROWS(_xlfn.ANCHORARRAY(G2))&gt;=10,"If 10 solutions are shown there may be more — more information is needed to identify the correct one.","")</f>
        <v>If 10 solutions are shown there may be more — more information is needed to identify the correct one.</v>
      </c>
      <c r="G3" s="5">
        <v>2</v>
      </c>
      <c r="H3" s="6">
        <v>4</v>
      </c>
      <c r="I3" s="15" t="str">
        <v>45, 16, 11, 7</v>
      </c>
      <c r="J3" s="9">
        <v>79</v>
      </c>
    </row>
    <row r="4" spans="1:10" x14ac:dyDescent="0.2">
      <c r="A4" s="11">
        <v>-8</v>
      </c>
      <c r="E4" s="3" t="str" cm="1">
        <f t="array" ref="E4">"Values removed (cannot reach the target): "&amp;_xlfn.LET(_xlpm.v,ROUND(_xlfn._xlws.FILTER(A2:A1000,A2:A1000&lt;&gt;"")*100,0),_xlpm.neg,SUM((_xlpm.v&lt;0)*_xlpm.v),SUMPRODUCT(--(_xlpm.v&gt;ROUND(C6*100,0)-_xlpm.neg)))</f>
        <v>Values removed (cannot reach the target): 1</v>
      </c>
      <c r="G4" s="5">
        <v>3</v>
      </c>
      <c r="H4" s="6">
        <v>4</v>
      </c>
      <c r="I4" s="15" t="str">
        <v>33, 16, 15, 15</v>
      </c>
      <c r="J4" s="9">
        <v>79</v>
      </c>
    </row>
    <row r="5" spans="1:10" ht="15" x14ac:dyDescent="0.25">
      <c r="A5" s="11">
        <v>-7</v>
      </c>
      <c r="C5" s="26" t="s">
        <v>1</v>
      </c>
      <c r="G5" s="5">
        <v>4</v>
      </c>
      <c r="H5" s="6">
        <v>5</v>
      </c>
      <c r="I5" s="15" t="str">
        <v>45, 33, 16, -6, -9</v>
      </c>
      <c r="J5" s="9">
        <v>79</v>
      </c>
    </row>
    <row r="6" spans="1:10" x14ac:dyDescent="0.2">
      <c r="A6" s="11">
        <v>-6</v>
      </c>
      <c r="C6" s="27">
        <v>79</v>
      </c>
      <c r="G6" s="5">
        <v>5</v>
      </c>
      <c r="H6" s="6">
        <v>5</v>
      </c>
      <c r="I6" s="15" t="str">
        <v>45, 33, 15, -5, -9</v>
      </c>
      <c r="J6" s="9">
        <v>79</v>
      </c>
    </row>
    <row r="7" spans="1:10" x14ac:dyDescent="0.2">
      <c r="A7" s="11">
        <v>-5</v>
      </c>
      <c r="G7" s="5">
        <v>6</v>
      </c>
      <c r="H7" s="6">
        <v>5</v>
      </c>
      <c r="I7" s="15" t="str">
        <v>45, 33, 15, -5, -9</v>
      </c>
      <c r="J7" s="9">
        <v>79</v>
      </c>
    </row>
    <row r="8" spans="1:10" x14ac:dyDescent="0.2">
      <c r="A8" s="11">
        <v>-3</v>
      </c>
      <c r="G8" s="5">
        <v>7</v>
      </c>
      <c r="H8" s="6">
        <v>5</v>
      </c>
      <c r="I8" s="15" t="str">
        <v>45, 33, 11, -1, -9</v>
      </c>
      <c r="J8" s="9">
        <v>79</v>
      </c>
    </row>
    <row r="9" spans="1:10" x14ac:dyDescent="0.2">
      <c r="A9" s="11">
        <v>-2</v>
      </c>
      <c r="G9" s="5">
        <v>8</v>
      </c>
      <c r="H9" s="6">
        <v>5</v>
      </c>
      <c r="I9" s="15" t="str">
        <v>45, 33, 16, -7, -8</v>
      </c>
      <c r="J9" s="9">
        <v>79</v>
      </c>
    </row>
    <row r="10" spans="1:10" x14ac:dyDescent="0.2">
      <c r="A10" s="11">
        <v>-1</v>
      </c>
      <c r="G10" s="5">
        <v>9</v>
      </c>
      <c r="H10" s="6">
        <v>5</v>
      </c>
      <c r="I10" s="15" t="str">
        <v>45, 33, 15, -6, -8</v>
      </c>
      <c r="J10" s="9">
        <v>79</v>
      </c>
    </row>
    <row r="11" spans="1:10" x14ac:dyDescent="0.2">
      <c r="A11" s="11">
        <v>7</v>
      </c>
      <c r="G11" s="7">
        <v>10</v>
      </c>
      <c r="H11" s="8">
        <v>5</v>
      </c>
      <c r="I11" s="16" t="str">
        <v>45, 33, 15, -6, -8</v>
      </c>
      <c r="J11" s="10">
        <v>79</v>
      </c>
    </row>
    <row r="12" spans="1:10" x14ac:dyDescent="0.2">
      <c r="A12" s="11">
        <v>11</v>
      </c>
    </row>
    <row r="13" spans="1:10" x14ac:dyDescent="0.2">
      <c r="A13" s="11">
        <v>15</v>
      </c>
    </row>
    <row r="14" spans="1:10" x14ac:dyDescent="0.2">
      <c r="A14" s="11">
        <v>15</v>
      </c>
    </row>
    <row r="15" spans="1:10" x14ac:dyDescent="0.2">
      <c r="A15" s="11">
        <v>16</v>
      </c>
    </row>
    <row r="16" spans="1:10" x14ac:dyDescent="0.2">
      <c r="A16" s="11">
        <v>33</v>
      </c>
    </row>
    <row r="17" spans="1:1" x14ac:dyDescent="0.2">
      <c r="A17" s="11">
        <v>45</v>
      </c>
    </row>
    <row r="18" spans="1:1" x14ac:dyDescent="0.2">
      <c r="A18" s="11">
        <v>130</v>
      </c>
    </row>
    <row r="19" spans="1:1" x14ac:dyDescent="0.2">
      <c r="A19" s="12">
        <v>500</v>
      </c>
    </row>
  </sheetData>
  <autoFilter ref="A1:A19" xr:uid="{CCB696F3-9F4A-4D1A-9B2C-D64FDA9117D1}">
    <sortState xmlns:xlrd2="http://schemas.microsoft.com/office/spreadsheetml/2017/richdata2" ref="A2:A19">
      <sortCondition ref="A1:A1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
  <sheetViews>
    <sheetView workbookViewId="0">
      <selection activeCell="A27" sqref="A27"/>
    </sheetView>
  </sheetViews>
  <sheetFormatPr defaultRowHeight="14.25" x14ac:dyDescent="0.2"/>
  <cols>
    <col min="1" max="1" width="168.375" bestFit="1" customWidth="1"/>
  </cols>
  <sheetData>
    <row r="1" spans="1:1" x14ac:dyDescent="0.2">
      <c r="A1" t="s">
        <v>8</v>
      </c>
    </row>
    <row r="3" spans="1:1" x14ac:dyDescent="0.2">
      <c r="A3" t="s">
        <v>40</v>
      </c>
    </row>
    <row r="5" spans="1:1" x14ac:dyDescent="0.2">
      <c r="A5" t="s">
        <v>42</v>
      </c>
    </row>
    <row r="7" spans="1:1" x14ac:dyDescent="0.2">
      <c r="A7" t="s">
        <v>9</v>
      </c>
    </row>
    <row r="8" spans="1:1" x14ac:dyDescent="0.2">
      <c r="A8" t="s">
        <v>10</v>
      </c>
    </row>
    <row r="9" spans="1:1" x14ac:dyDescent="0.2">
      <c r="A9" t="s">
        <v>11</v>
      </c>
    </row>
    <row r="10" spans="1:1" x14ac:dyDescent="0.2">
      <c r="A10" t="s">
        <v>12</v>
      </c>
    </row>
    <row r="11" spans="1:1" x14ac:dyDescent="0.2">
      <c r="A11" t="s">
        <v>13</v>
      </c>
    </row>
    <row r="13" spans="1:1" x14ac:dyDescent="0.2">
      <c r="A13" t="s">
        <v>14</v>
      </c>
    </row>
    <row r="15" spans="1:1" x14ac:dyDescent="0.2">
      <c r="A15" t="s">
        <v>43</v>
      </c>
    </row>
    <row r="17" spans="1:1" x14ac:dyDescent="0.2">
      <c r="A17" t="s">
        <v>41</v>
      </c>
    </row>
    <row r="19" spans="1:1" x14ac:dyDescent="0.2">
      <c r="A19" t="s">
        <v>15</v>
      </c>
    </row>
    <row r="20" spans="1:1" x14ac:dyDescent="0.2">
      <c r="A20" t="s">
        <v>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6"/>
  <sheetViews>
    <sheetView topLeftCell="A10" workbookViewId="0">
      <selection activeCell="A38" sqref="A38"/>
    </sheetView>
  </sheetViews>
  <sheetFormatPr defaultRowHeight="14.25" x14ac:dyDescent="0.2"/>
  <cols>
    <col min="1" max="1" width="120" style="13" customWidth="1"/>
  </cols>
  <sheetData>
    <row r="1" spans="1:1" x14ac:dyDescent="0.2">
      <c r="A1" s="13" t="s">
        <v>17</v>
      </c>
    </row>
    <row r="3" spans="1:1" x14ac:dyDescent="0.2">
      <c r="A3" s="13" t="s">
        <v>18</v>
      </c>
    </row>
    <row r="4" spans="1:1" ht="57" x14ac:dyDescent="0.2">
      <c r="A4" s="13" t="s">
        <v>44</v>
      </c>
    </row>
    <row r="6" spans="1:1" x14ac:dyDescent="0.2">
      <c r="A6" s="13" t="s">
        <v>19</v>
      </c>
    </row>
    <row r="7" spans="1:1" ht="28.5" x14ac:dyDescent="0.2">
      <c r="A7" s="13" t="s">
        <v>20</v>
      </c>
    </row>
    <row r="9" spans="1:1" x14ac:dyDescent="0.2">
      <c r="A9" s="13" t="s">
        <v>21</v>
      </c>
    </row>
    <row r="10" spans="1:1" ht="57" x14ac:dyDescent="0.2">
      <c r="A10" s="13" t="s">
        <v>22</v>
      </c>
    </row>
    <row r="12" spans="1:1" x14ac:dyDescent="0.2">
      <c r="A12" s="13" t="s">
        <v>23</v>
      </c>
    </row>
    <row r="13" spans="1:1" ht="33" customHeight="1" x14ac:dyDescent="0.2">
      <c r="A13" s="13" t="s">
        <v>24</v>
      </c>
    </row>
    <row r="15" spans="1:1" x14ac:dyDescent="0.2">
      <c r="A15" s="13" t="s">
        <v>25</v>
      </c>
    </row>
    <row r="16" spans="1:1" x14ac:dyDescent="0.2">
      <c r="A16" s="13" t="s">
        <v>26</v>
      </c>
    </row>
    <row r="17" spans="1:1" x14ac:dyDescent="0.2">
      <c r="A17" s="13" t="s">
        <v>27</v>
      </c>
    </row>
    <row r="18" spans="1:1" x14ac:dyDescent="0.2">
      <c r="A18" s="13" t="s">
        <v>28</v>
      </c>
    </row>
    <row r="19" spans="1:1" x14ac:dyDescent="0.2">
      <c r="A19" s="13" t="s">
        <v>29</v>
      </c>
    </row>
    <row r="21" spans="1:1" x14ac:dyDescent="0.2">
      <c r="A21" s="13" t="s">
        <v>30</v>
      </c>
    </row>
    <row r="22" spans="1:1" ht="28.5" x14ac:dyDescent="0.2">
      <c r="A22" s="13" t="s">
        <v>31</v>
      </c>
    </row>
    <row r="24" spans="1:1" x14ac:dyDescent="0.2">
      <c r="A24" s="13" t="s">
        <v>32</v>
      </c>
    </row>
    <row r="25" spans="1:1" ht="28.5" x14ac:dyDescent="0.2">
      <c r="A25" s="13" t="s">
        <v>33</v>
      </c>
    </row>
    <row r="27" spans="1:1" x14ac:dyDescent="0.2">
      <c r="A27" s="13" t="s">
        <v>34</v>
      </c>
    </row>
    <row r="28" spans="1:1" ht="42.75" x14ac:dyDescent="0.2">
      <c r="A28" s="13" t="s">
        <v>35</v>
      </c>
    </row>
    <row r="30" spans="1:1" x14ac:dyDescent="0.2">
      <c r="A30" s="13" t="s">
        <v>36</v>
      </c>
    </row>
    <row r="31" spans="1:1" ht="28.5" x14ac:dyDescent="0.2">
      <c r="A31" s="13" t="s">
        <v>37</v>
      </c>
    </row>
    <row r="33" spans="1:1" x14ac:dyDescent="0.2">
      <c r="A33" s="13" t="s">
        <v>38</v>
      </c>
    </row>
    <row r="34" spans="1:1" ht="42.75" x14ac:dyDescent="0.2">
      <c r="A34" s="13" t="s">
        <v>45</v>
      </c>
    </row>
    <row r="36" spans="1:1" x14ac:dyDescent="0.2">
      <c r="A36" s="13" t="s">
        <v>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8"/>
  <sheetViews>
    <sheetView workbookViewId="0">
      <selection activeCell="E13" sqref="E13"/>
    </sheetView>
  </sheetViews>
  <sheetFormatPr defaultRowHeight="14.25" x14ac:dyDescent="0.2"/>
  <cols>
    <col min="1" max="1" width="13.5" style="1" bestFit="1" customWidth="1"/>
    <col min="2" max="2" width="3.125" customWidth="1"/>
    <col min="3" max="3" width="17.375" style="25" bestFit="1" customWidth="1"/>
    <col min="4" max="4" width="3.125" customWidth="1"/>
    <col min="5" max="5" width="85.5" bestFit="1" customWidth="1"/>
    <col min="6" max="6" width="4" customWidth="1"/>
    <col min="7" max="7" width="8.5" style="25" bestFit="1" customWidth="1"/>
    <col min="8" max="8" width="6.75" style="25" bestFit="1" customWidth="1"/>
    <col min="9" max="9" width="13.5" style="25" bestFit="1" customWidth="1"/>
    <col min="10" max="10" width="6.25" style="25" bestFit="1" customWidth="1"/>
    <col min="11" max="11" width="8.125" style="25" bestFit="1" customWidth="1"/>
    <col min="12" max="12" width="9.875" style="25" bestFit="1" customWidth="1"/>
    <col min="13" max="13" width="11.75" style="25" bestFit="1" customWidth="1"/>
    <col min="14" max="14" width="5.125" style="25" bestFit="1" customWidth="1"/>
    <col min="15" max="15" width="6.25" style="25" bestFit="1" customWidth="1"/>
    <col min="16" max="16" width="9.75" style="25" bestFit="1" customWidth="1"/>
    <col min="17" max="17" width="10" style="25" bestFit="1" customWidth="1"/>
    <col min="18" max="18" width="13.625" style="25" bestFit="1" customWidth="1"/>
    <col min="19" max="19" width="6.875" style="25" bestFit="1" customWidth="1"/>
    <col min="20" max="20" width="20" bestFit="1" customWidth="1"/>
    <col min="21" max="21" width="9.75" bestFit="1" customWidth="1"/>
    <col min="22" max="22" width="7.125" bestFit="1" customWidth="1"/>
    <col min="23" max="23" width="22" style="17" bestFit="1" customWidth="1"/>
    <col min="24" max="24" width="7.375" style="18" bestFit="1" customWidth="1"/>
  </cols>
  <sheetData>
    <row r="1" spans="1:24" s="20" customFormat="1" ht="34.5" customHeight="1" x14ac:dyDescent="0.2">
      <c r="A1" s="19" t="s">
        <v>0</v>
      </c>
      <c r="C1" s="24" t="s">
        <v>6</v>
      </c>
      <c r="E1" s="24" t="s">
        <v>7</v>
      </c>
      <c r="F1" s="33"/>
      <c r="G1" s="28" t="s">
        <v>47</v>
      </c>
      <c r="H1" s="28" t="s">
        <v>48</v>
      </c>
      <c r="I1" s="28" t="s">
        <v>49</v>
      </c>
      <c r="J1" s="28" t="s">
        <v>50</v>
      </c>
      <c r="K1" s="28" t="s">
        <v>51</v>
      </c>
      <c r="L1" s="28" t="s">
        <v>52</v>
      </c>
      <c r="M1" s="28" t="s">
        <v>53</v>
      </c>
      <c r="N1" s="28" t="s">
        <v>54</v>
      </c>
      <c r="O1" s="28" t="s">
        <v>55</v>
      </c>
      <c r="P1" s="28" t="s">
        <v>56</v>
      </c>
      <c r="Q1" s="28" t="s">
        <v>57</v>
      </c>
      <c r="R1" s="28" t="s">
        <v>58</v>
      </c>
      <c r="S1" s="28" t="s">
        <v>59</v>
      </c>
      <c r="T1" s="28" t="s">
        <v>60</v>
      </c>
      <c r="U1" s="21" t="s">
        <v>2</v>
      </c>
      <c r="V1" s="30" t="s">
        <v>3</v>
      </c>
      <c r="W1" s="31" t="s">
        <v>0</v>
      </c>
      <c r="X1" s="32" t="s">
        <v>61</v>
      </c>
    </row>
    <row r="2" spans="1:24" x14ac:dyDescent="0.2">
      <c r="A2" s="11">
        <v>-50</v>
      </c>
      <c r="C2" s="4">
        <v>8</v>
      </c>
      <c r="E2" s="2" t="str">
        <f>IFERROR("Total solutions found: "&amp;ROWS(_xlfn.ANCHORARRAY(U2))&amp;" (out of a maximum of 10)","No solutions")</f>
        <v>Total solutions found: 10 (out of a maximum of 10)</v>
      </c>
      <c r="G2" s="25" cm="1">
        <f t="array" ref="G2:G19">_xlfn._xlws.FILTER(A2:A1000,A2:A1000&lt;&gt;"")</f>
        <v>-50</v>
      </c>
      <c r="H2" s="25">
        <f>C6</f>
        <v>80</v>
      </c>
      <c r="I2" s="25">
        <f>ROUND(H2*100,0)</f>
        <v>8000</v>
      </c>
      <c r="J2" s="25" cm="1">
        <f t="array" ref="J2:J19">ROUND(_xlfn.ANCHORARRAY(G2)*100,0)</f>
        <v>-5000</v>
      </c>
      <c r="K2" s="25" cm="1">
        <f t="array" ref="K2">SUM((_xlfn.ANCHORARRAY(J2)&lt;0)*_xlfn.ANCHORARRAY(J2))</f>
        <v>-9100</v>
      </c>
      <c r="L2" s="25" t="b" cm="1">
        <f t="array" ref="L2:L19">_xlfn.ANCHORARRAY(J2)&lt;=I2-K2</f>
        <v>1</v>
      </c>
      <c r="M2" s="25" cm="1">
        <f t="array" ref="M2:M18">_xlfn._xlws.FILTER(_xlfn.ANCHORARRAY(J2),_xlfn.ANCHORARRAY(L2))</f>
        <v>-5000</v>
      </c>
      <c r="N2" s="25" cm="1">
        <f t="array" ref="N2:N18">_xlfn._xlws.FILTER(_xlfn.ANCHORARRAY(G2),_xlfn.ANCHORARRAY(L2))</f>
        <v>-50</v>
      </c>
      <c r="O2" s="25">
        <f>ROWS(_xlfn.ANCHORARRAY(M2))</f>
        <v>17</v>
      </c>
      <c r="P2" s="25">
        <f>MIN(C2,O2)</f>
        <v>8</v>
      </c>
      <c r="Q2" s="25" cm="1">
        <f t="array" ref="Q2:Q18">_xlfn.SORTBY(_xlfn.SEQUENCE(O2),_xlfn.ANCHORARRAY(M2),-1)</f>
        <v>17</v>
      </c>
      <c r="R2" s="25" cm="1">
        <f t="array" ref="R2:R18">INDEX(_xlfn.ANCHORARRAY(M2),_xlfn.ANCHORARRAY(Q2))</f>
        <v>13000</v>
      </c>
      <c r="S2" s="25" cm="1">
        <f t="array" ref="S2:S18">INDEX(_xlfn.ANCHORARRAY(N2),_xlfn.ANCHORARRAY(Q2))</f>
        <v>130</v>
      </c>
      <c r="T2" s="29" t="s">
        <v>46</v>
      </c>
      <c r="U2" s="5" cm="1">
        <f t="array" ref="U2:X11">_xlfn.LET(_xlpm.raw,_xlfn.ANCHORARRAY(G2), _xlpm.tgt,H2, _xlpm.tgtI,I2, _xlpm.intsAll,_xlfn.ANCHORARRAY(J2), _xlpm.negSum,K2, _xlpm.keepMask,_xlfn.ANCHORARRAY(L2), _xlpm.ints,_xlfn.ANCHORARRAY(M2), _xlpm.origs,_xlfn.ANCHORARRAY(N2), _xlpm.n,O2, _xlpm.kMax,P2, _xlpm.sortIdx,_xlfn.ANCHORARRAY(Q2), _xlpm.sInts,_xlfn.ANCHORARRAY(R2), _xlpm.sOrigs,_xlfn.ANCHORARRAY(S2), _xlpm.M,2^_xlpm.n-1, _xlpm.masks,_xlfn.SEQUENCE(_xlpm.M), _xlpm.cols,_xlfn.SEQUENCE(1,_xlpm.n), _xlpm.bits,MOD(INT(_xlpm.masks/2^(_xlpm.cols-1)),2), _xlpm.pc,MMULT(_xlpm.bits,_xlfn.SEQUENCE(_xlpm.n,1,1,0)), _xlpm.sums,MMULT(_xlpm.bits,_xlpm.sInts), _xlpm.keep,(_xlpm.pc&lt;=_xlpm.kMax)*(_xlpm.sums=_xlpm.tgtI), _xlpm.rowIdx,_xlfn.SEQUENCE(_xlpm.M), _xlpm.hitIdx,IFERROR(_xlfn._xlws.FILTER(_xlpm.rowIdx,_xlpm.keep=1),0), _xlpm.hitPc,INDEX(_xlpm.pc,_xlpm.hitIdx), _xlpm.hitMasks,INDEX(_xlpm.masks,_xlpm.hitIdx), _xlpm.ordIdx,_xlfn.SORTBY(_xlfn.SEQUENCE(ROWS(_xlpm.hitIdx)),_xlpm.hitPc,1,_xlpm.hitMasks,-1), _xlpm.topIdx,_xlfn.TAKE(INDEX(_xlpm.hitIdx,_xlpm.ordIdx),10), _xlpm.topPc,INDEX(_xlpm.pc,_xlpm.topIdx), _xlpm.topSums,INDEX(_xlpm.sums,_xlpm.topIdx)/100, _xlpm.cnt,ROWS(_xlpm.topIdx), _xlpm.topMasksOrd,INDEX(_xlpm.masks,_xlpm.topIdx), _xlpm.mkStr,_xlfn.LAMBDA(_xlpm.m,_xlfn.LET(_xlpm.bCol,MOD(INT(_xlpm.m/2^(_xlfn.SEQUENCE(_xlpm.n)-1)),2),_xlpm.picked,_xlfn._xlws.FILTER(_xlpm.sOrigs,_xlpm.bCol=1),_xlpm.pickedDesc,_xlfn._xlws.SORT(_xlpm.picked,,-1),_xlfn.TEXTJOIN(", ",TRUE,_xlpm.pickedDesc))), _xlpm.strs,_xlfn.BYROW(_xlpm.topMasksOrd,_xlfn.LAMBDA(_xlpm.r,_xlpm.mkStr(_xlpm.r))), _xlpm.nums,_xlfn.SEQUENCE(_xlpm.cnt), _xlfn.HSTACK(_xlpm.nums,_xlpm.topPc,_xlpm.strs,_xlpm.topSums))</f>
        <v>1</v>
      </c>
      <c r="V2" s="6">
        <v>2</v>
      </c>
      <c r="W2" s="15" t="str">
        <v>130, -50</v>
      </c>
      <c r="X2" s="9">
        <v>80</v>
      </c>
    </row>
    <row r="3" spans="1:24" x14ac:dyDescent="0.2">
      <c r="A3" s="11">
        <v>-9</v>
      </c>
      <c r="E3" s="2" t="str">
        <f>IF(ROWS(_xlfn.ANCHORARRAY(U2))&gt;=10,"If 10 solutions are shown there may be more — more information is needed to identify the correct one.","")</f>
        <v>If 10 solutions are shown there may be more — more information is needed to identify the correct one.</v>
      </c>
      <c r="G3" s="25">
        <v>-9</v>
      </c>
      <c r="J3" s="25">
        <v>-900</v>
      </c>
      <c r="L3" s="25" t="b">
        <v>1</v>
      </c>
      <c r="M3" s="25">
        <v>-900</v>
      </c>
      <c r="N3" s="25">
        <v>-9</v>
      </c>
      <c r="Q3" s="25">
        <v>14</v>
      </c>
      <c r="R3" s="25">
        <v>1600</v>
      </c>
      <c r="S3" s="25">
        <v>16</v>
      </c>
      <c r="U3" s="5">
        <v>2</v>
      </c>
      <c r="V3" s="6">
        <v>4</v>
      </c>
      <c r="W3" s="15" t="str">
        <v>130, 7, -7, -50</v>
      </c>
      <c r="X3" s="9">
        <v>80</v>
      </c>
    </row>
    <row r="4" spans="1:24" x14ac:dyDescent="0.2">
      <c r="A4" s="11">
        <v>-8</v>
      </c>
      <c r="E4" s="3" t="str" cm="1">
        <f t="array" ref="E4">"Values removed (cannot reach the target): "&amp;_xlfn.LET(_xlpm.v,ROUND(_xlfn._xlws.FILTER(A2:A1000,A2:A1000&lt;&gt;"")*100,0),_xlpm.neg,SUM((_xlpm.v&lt;0)*_xlpm.v),SUMPRODUCT(--(_xlpm.v&gt;ROUND(C6*100,0)-_xlpm.neg)))</f>
        <v>Values removed (cannot reach the target): 1</v>
      </c>
      <c r="G4" s="25">
        <v>-8</v>
      </c>
      <c r="J4" s="25">
        <v>-800</v>
      </c>
      <c r="L4" s="25" t="b">
        <v>1</v>
      </c>
      <c r="M4" s="25">
        <v>-800</v>
      </c>
      <c r="N4" s="25">
        <v>-8</v>
      </c>
      <c r="Q4" s="25">
        <v>12</v>
      </c>
      <c r="R4" s="25">
        <v>1500</v>
      </c>
      <c r="S4" s="25">
        <v>15</v>
      </c>
      <c r="U4" s="5">
        <v>3</v>
      </c>
      <c r="V4" s="6">
        <v>4</v>
      </c>
      <c r="W4" s="15" t="str">
        <v>130, 5, -5, -50</v>
      </c>
      <c r="X4" s="9">
        <v>80</v>
      </c>
    </row>
    <row r="5" spans="1:24" ht="15" x14ac:dyDescent="0.25">
      <c r="A5" s="11">
        <v>-7</v>
      </c>
      <c r="C5" s="26" t="s">
        <v>1</v>
      </c>
      <c r="G5" s="25">
        <v>-7</v>
      </c>
      <c r="J5" s="25">
        <v>-700</v>
      </c>
      <c r="L5" s="25" t="b">
        <v>1</v>
      </c>
      <c r="M5" s="25">
        <v>-700</v>
      </c>
      <c r="N5" s="25">
        <v>-7</v>
      </c>
      <c r="Q5" s="25">
        <v>13</v>
      </c>
      <c r="R5" s="25">
        <v>1500</v>
      </c>
      <c r="S5" s="25">
        <v>15</v>
      </c>
      <c r="U5" s="5">
        <v>4</v>
      </c>
      <c r="V5" s="6">
        <v>4</v>
      </c>
      <c r="W5" s="15" t="str">
        <v>130, 5, -5, -50</v>
      </c>
      <c r="X5" s="9">
        <v>80</v>
      </c>
    </row>
    <row r="6" spans="1:24" x14ac:dyDescent="0.2">
      <c r="A6" s="11">
        <v>-6</v>
      </c>
      <c r="C6" s="27">
        <v>80</v>
      </c>
      <c r="G6" s="25">
        <v>-6</v>
      </c>
      <c r="J6" s="25">
        <v>-600</v>
      </c>
      <c r="L6" s="25" t="b">
        <v>1</v>
      </c>
      <c r="M6" s="25">
        <v>-600</v>
      </c>
      <c r="N6" s="25">
        <v>-6</v>
      </c>
      <c r="Q6" s="25">
        <v>11</v>
      </c>
      <c r="R6" s="25">
        <v>1100</v>
      </c>
      <c r="S6" s="25">
        <v>11</v>
      </c>
      <c r="U6" s="5">
        <v>5</v>
      </c>
      <c r="V6" s="6">
        <v>5</v>
      </c>
      <c r="W6" s="15" t="str">
        <v>130, 16, -7, -9, -50</v>
      </c>
      <c r="X6" s="9">
        <v>80</v>
      </c>
    </row>
    <row r="7" spans="1:24" x14ac:dyDescent="0.2">
      <c r="A7" s="11">
        <v>-5</v>
      </c>
      <c r="G7" s="25">
        <v>-5</v>
      </c>
      <c r="J7" s="25">
        <v>-500</v>
      </c>
      <c r="L7" s="25" t="b">
        <v>1</v>
      </c>
      <c r="M7" s="25">
        <v>-500</v>
      </c>
      <c r="N7" s="25">
        <v>-5</v>
      </c>
      <c r="Q7" s="25">
        <v>10</v>
      </c>
      <c r="R7" s="25">
        <v>700</v>
      </c>
      <c r="S7" s="25">
        <v>7</v>
      </c>
      <c r="U7" s="5">
        <v>6</v>
      </c>
      <c r="V7" s="6">
        <v>5</v>
      </c>
      <c r="W7" s="15" t="str">
        <v>130, 15, -6, -9, -50</v>
      </c>
      <c r="X7" s="9">
        <v>80</v>
      </c>
    </row>
    <row r="8" spans="1:24" x14ac:dyDescent="0.2">
      <c r="A8" s="11">
        <v>-3</v>
      </c>
      <c r="G8" s="25">
        <v>-3</v>
      </c>
      <c r="J8" s="25">
        <v>-300</v>
      </c>
      <c r="L8" s="25" t="b">
        <v>1</v>
      </c>
      <c r="M8" s="25">
        <v>-300</v>
      </c>
      <c r="N8" s="25">
        <v>-3</v>
      </c>
      <c r="Q8" s="25">
        <v>15</v>
      </c>
      <c r="R8" s="25">
        <v>500</v>
      </c>
      <c r="S8" s="25">
        <v>5</v>
      </c>
      <c r="U8" s="5">
        <v>7</v>
      </c>
      <c r="V8" s="6">
        <v>5</v>
      </c>
      <c r="W8" s="15" t="str">
        <v>130, 15, -6, -9, -50</v>
      </c>
      <c r="X8" s="9">
        <v>80</v>
      </c>
    </row>
    <row r="9" spans="1:24" x14ac:dyDescent="0.2">
      <c r="A9" s="11">
        <v>-2</v>
      </c>
      <c r="G9" s="25">
        <v>-2</v>
      </c>
      <c r="J9" s="25">
        <v>-200</v>
      </c>
      <c r="L9" s="25" t="b">
        <v>1</v>
      </c>
      <c r="M9" s="25">
        <v>-200</v>
      </c>
      <c r="N9" s="25">
        <v>-2</v>
      </c>
      <c r="Q9" s="25">
        <v>16</v>
      </c>
      <c r="R9" s="25">
        <v>500</v>
      </c>
      <c r="S9" s="25">
        <v>5</v>
      </c>
      <c r="U9" s="5">
        <v>8</v>
      </c>
      <c r="V9" s="6">
        <v>5</v>
      </c>
      <c r="W9" s="15" t="str">
        <v>130, 11, -2, -9, -50</v>
      </c>
      <c r="X9" s="9">
        <v>80</v>
      </c>
    </row>
    <row r="10" spans="1:24" x14ac:dyDescent="0.2">
      <c r="A10" s="11">
        <v>-1</v>
      </c>
      <c r="G10" s="25">
        <v>-1</v>
      </c>
      <c r="J10" s="25">
        <v>-100</v>
      </c>
      <c r="L10" s="25" t="b">
        <v>1</v>
      </c>
      <c r="M10" s="25">
        <v>-100</v>
      </c>
      <c r="N10" s="25">
        <v>-1</v>
      </c>
      <c r="Q10" s="25">
        <v>9</v>
      </c>
      <c r="R10" s="25">
        <v>-100</v>
      </c>
      <c r="S10" s="25">
        <v>-1</v>
      </c>
      <c r="U10" s="5">
        <v>9</v>
      </c>
      <c r="V10" s="6">
        <v>5</v>
      </c>
      <c r="W10" s="15" t="str">
        <v>130, 15, -7, -8, -50</v>
      </c>
      <c r="X10" s="9">
        <v>80</v>
      </c>
    </row>
    <row r="11" spans="1:24" x14ac:dyDescent="0.2">
      <c r="A11" s="11">
        <v>7</v>
      </c>
      <c r="G11" s="25">
        <v>7</v>
      </c>
      <c r="J11" s="25">
        <v>700</v>
      </c>
      <c r="L11" s="25" t="b">
        <v>1</v>
      </c>
      <c r="M11" s="25">
        <v>700</v>
      </c>
      <c r="N11" s="25">
        <v>7</v>
      </c>
      <c r="Q11" s="25">
        <v>8</v>
      </c>
      <c r="R11" s="25">
        <v>-200</v>
      </c>
      <c r="S11" s="25">
        <v>-2</v>
      </c>
      <c r="U11" s="7">
        <v>10</v>
      </c>
      <c r="V11" s="8">
        <v>5</v>
      </c>
      <c r="W11" s="16" t="str">
        <v>130, 15, -7, -8, -50</v>
      </c>
      <c r="X11" s="10">
        <v>80</v>
      </c>
    </row>
    <row r="12" spans="1:24" x14ac:dyDescent="0.2">
      <c r="A12" s="11">
        <v>11</v>
      </c>
      <c r="G12" s="25">
        <v>11</v>
      </c>
      <c r="J12" s="25">
        <v>1100</v>
      </c>
      <c r="L12" s="25" t="b">
        <v>1</v>
      </c>
      <c r="M12" s="25">
        <v>1100</v>
      </c>
      <c r="N12" s="25">
        <v>11</v>
      </c>
      <c r="Q12" s="25">
        <v>7</v>
      </c>
      <c r="R12" s="25">
        <v>-300</v>
      </c>
      <c r="S12" s="25">
        <v>-3</v>
      </c>
    </row>
    <row r="13" spans="1:24" x14ac:dyDescent="0.2">
      <c r="A13" s="11">
        <v>15</v>
      </c>
      <c r="G13" s="25">
        <v>15</v>
      </c>
      <c r="J13" s="25">
        <v>1500</v>
      </c>
      <c r="L13" s="25" t="b">
        <v>1</v>
      </c>
      <c r="M13" s="25">
        <v>1500</v>
      </c>
      <c r="N13" s="25">
        <v>15</v>
      </c>
      <c r="Q13" s="25">
        <v>6</v>
      </c>
      <c r="R13" s="25">
        <v>-500</v>
      </c>
      <c r="S13" s="25">
        <v>-5</v>
      </c>
    </row>
    <row r="14" spans="1:24" x14ac:dyDescent="0.2">
      <c r="A14" s="11">
        <v>15</v>
      </c>
      <c r="G14" s="25">
        <v>15</v>
      </c>
      <c r="J14" s="25">
        <v>1500</v>
      </c>
      <c r="L14" s="25" t="b">
        <v>1</v>
      </c>
      <c r="M14" s="25">
        <v>1500</v>
      </c>
      <c r="N14" s="25">
        <v>15</v>
      </c>
      <c r="Q14" s="25">
        <v>5</v>
      </c>
      <c r="R14" s="25">
        <v>-600</v>
      </c>
      <c r="S14" s="25">
        <v>-6</v>
      </c>
    </row>
    <row r="15" spans="1:24" x14ac:dyDescent="0.2">
      <c r="A15" s="11">
        <v>16</v>
      </c>
      <c r="G15" s="25">
        <v>16</v>
      </c>
      <c r="J15" s="25">
        <v>1600</v>
      </c>
      <c r="L15" s="25" t="b">
        <v>1</v>
      </c>
      <c r="M15" s="25">
        <v>1600</v>
      </c>
      <c r="N15" s="25">
        <v>16</v>
      </c>
      <c r="Q15" s="25">
        <v>4</v>
      </c>
      <c r="R15" s="25">
        <v>-700</v>
      </c>
      <c r="S15" s="25">
        <v>-7</v>
      </c>
    </row>
    <row r="16" spans="1:24" x14ac:dyDescent="0.2">
      <c r="A16" s="11">
        <v>5</v>
      </c>
      <c r="G16" s="25">
        <v>5</v>
      </c>
      <c r="J16" s="25">
        <v>500</v>
      </c>
      <c r="L16" s="25" t="b">
        <v>1</v>
      </c>
      <c r="M16" s="25">
        <v>500</v>
      </c>
      <c r="N16" s="25">
        <v>5</v>
      </c>
      <c r="Q16" s="25">
        <v>3</v>
      </c>
      <c r="R16" s="25">
        <v>-800</v>
      </c>
      <c r="S16" s="25">
        <v>-8</v>
      </c>
    </row>
    <row r="17" spans="1:19" x14ac:dyDescent="0.2">
      <c r="A17" s="11">
        <v>5</v>
      </c>
      <c r="G17" s="25">
        <v>5</v>
      </c>
      <c r="J17" s="25">
        <v>500</v>
      </c>
      <c r="L17" s="25" t="b">
        <v>1</v>
      </c>
      <c r="M17" s="25">
        <v>500</v>
      </c>
      <c r="N17" s="25">
        <v>5</v>
      </c>
      <c r="Q17" s="25">
        <v>2</v>
      </c>
      <c r="R17" s="25">
        <v>-900</v>
      </c>
      <c r="S17" s="25">
        <v>-9</v>
      </c>
    </row>
    <row r="18" spans="1:19" x14ac:dyDescent="0.2">
      <c r="A18" s="11">
        <v>130</v>
      </c>
      <c r="G18" s="25">
        <v>130</v>
      </c>
      <c r="J18" s="25">
        <v>13000</v>
      </c>
      <c r="L18" s="25" t="b">
        <v>1</v>
      </c>
      <c r="M18" s="25">
        <v>13000</v>
      </c>
      <c r="N18" s="25">
        <v>130</v>
      </c>
      <c r="Q18" s="25">
        <v>1</v>
      </c>
      <c r="R18" s="25">
        <v>-5000</v>
      </c>
      <c r="S18" s="25">
        <v>-50</v>
      </c>
    </row>
    <row r="19" spans="1:19" x14ac:dyDescent="0.2">
      <c r="A19" s="12">
        <v>500</v>
      </c>
      <c r="G19" s="25">
        <v>500</v>
      </c>
      <c r="J19" s="25">
        <v>50000</v>
      </c>
      <c r="L19" s="25" t="b">
        <v>0</v>
      </c>
    </row>
    <row r="21" spans="1:19" x14ac:dyDescent="0.2">
      <c r="A21" t="s">
        <v>62</v>
      </c>
    </row>
    <row r="22" spans="1:19" x14ac:dyDescent="0.2">
      <c r="A22" t="s">
        <v>63</v>
      </c>
    </row>
    <row r="23" spans="1:19" x14ac:dyDescent="0.2">
      <c r="A23" t="s">
        <v>64</v>
      </c>
    </row>
    <row r="24" spans="1:19" x14ac:dyDescent="0.2">
      <c r="A24" t="s">
        <v>65</v>
      </c>
    </row>
    <row r="25" spans="1:19" x14ac:dyDescent="0.2">
      <c r="A25" t="s">
        <v>66</v>
      </c>
    </row>
    <row r="26" spans="1:19" x14ac:dyDescent="0.2">
      <c r="A26" t="s">
        <v>67</v>
      </c>
    </row>
    <row r="27" spans="1:19" x14ac:dyDescent="0.2">
      <c r="A27" t="s">
        <v>68</v>
      </c>
    </row>
    <row r="28" spans="1:19" x14ac:dyDescent="0.2">
      <c r="A28" t="s">
        <v>69</v>
      </c>
    </row>
    <row r="29" spans="1:19" x14ac:dyDescent="0.2">
      <c r="A29" t="s">
        <v>70</v>
      </c>
    </row>
    <row r="30" spans="1:19" x14ac:dyDescent="0.2">
      <c r="A30" t="s">
        <v>71</v>
      </c>
    </row>
    <row r="31" spans="1:19" x14ac:dyDescent="0.2">
      <c r="A31" t="s">
        <v>72</v>
      </c>
    </row>
    <row r="32" spans="1:19" x14ac:dyDescent="0.2">
      <c r="A32" t="s">
        <v>73</v>
      </c>
    </row>
    <row r="33" spans="1:1" x14ac:dyDescent="0.2">
      <c r="A33" t="s">
        <v>74</v>
      </c>
    </row>
    <row r="34" spans="1:1" x14ac:dyDescent="0.2">
      <c r="A34" t="s">
        <v>75</v>
      </c>
    </row>
    <row r="35" spans="1:1" x14ac:dyDescent="0.2">
      <c r="A35" t="s">
        <v>76</v>
      </c>
    </row>
    <row r="36" spans="1:1" x14ac:dyDescent="0.2">
      <c r="A36" t="s">
        <v>77</v>
      </c>
    </row>
    <row r="38" spans="1:1" x14ac:dyDescent="0.2">
      <c r="A38" t="s">
        <v>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Solver</vt:lpstr>
      <vt:lpstr>README</vt:lpstr>
      <vt:lpstr>How it works</vt:lpstr>
      <vt:lpstr>Formula breakdown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Elad.d Layogev</dc:creator>
  <cp:lastModifiedBy>Elad.d Layogev</cp:lastModifiedBy>
  <dcterms:created xsi:type="dcterms:W3CDTF">2026-05-22T05:58:46Z</dcterms:created>
  <dcterms:modified xsi:type="dcterms:W3CDTF">2026-05-23T13:36:50Z</dcterms:modified>
</cp:coreProperties>
</file>