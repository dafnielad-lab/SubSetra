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Y\Subsetra\"/>
    </mc:Choice>
  </mc:AlternateContent>
  <xr:revisionPtr revIDLastSave="0" documentId="13_ncr:1_{468FA1EF-EB01-4CF2-8025-BCEA3A6990CB}" xr6:coauthVersionLast="47" xr6:coauthVersionMax="47" xr10:uidLastSave="{00000000-0000-0000-0000-000000000000}"/>
  <bookViews>
    <workbookView xWindow="-120" yWindow="-120" windowWidth="29040" windowHeight="15720" xr2:uid="{EA5FF646-B5A6-4161-80BC-EF2BF147EF32}"/>
  </bookViews>
  <sheets>
    <sheet name="Solver" sheetId="1" r:id="rId1"/>
    <sheet name="README" sheetId="2" r:id="rId2"/>
    <sheet name="How it works" sheetId="3" r:id="rId3"/>
  </sheets>
  <definedNames>
    <definedName name="_xlnm._FilterDatabase" localSheetId="0" hidden="1">Solver!$A$1:$A$19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" l="1" a="1"/>
  <c r="G2" i="1" s="1"/>
  <c r="E4" i="1" a="1"/>
  <c r="E4" i="1" s="1"/>
  <c r="E2" i="1" l="1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<sst xmlns="http://schemas.openxmlformats.org/spreadsheetml/2006/main" count="46" uniqueCount="46">
  <si>
    <t>Transactions</t>
  </si>
  <si>
    <t>Target sum</t>
  </si>
  <si>
    <t>Solution #</t>
  </si>
  <si>
    <t># items</t>
  </si>
  <si>
    <t>Transactions (amounts)</t>
  </si>
  <si>
    <t>Sum (check)</t>
  </si>
  <si>
    <t>Maximum items (k)</t>
  </si>
  <si>
    <t>Info</t>
  </si>
  <si>
    <t>Subsetra Lite — Excel-formula demo</t>
  </si>
  <si>
    <t>How to use (on the "Solver" sheet):</t>
  </si>
  <si>
    <t>1. Enter your amounts in column A, from cell A2 downward.</t>
  </si>
  <si>
    <t>2. Enter the maximum number of items per solution in cell C2.</t>
  </si>
  <si>
    <t>3. Enter the target sum in cell C6.</t>
  </si>
  <si>
    <t>4. The results appear automatically in G2:J11 (up to the 10 shortest solutions).</t>
  </si>
  <si>
    <t>Requirements: Microsoft Excel 365 or Excel 2021+ (it uses LET, LAMBDA, FILTER, SEQUENCE, BYROW, SORTBY, TAKE, HSTACK). It will not work in older Excel versions or in Google Sheets.</t>
  </si>
  <si>
    <t>Project: https://github.com/dafnielad-lab/SubSetra</t>
  </si>
  <si>
    <t>License: MIT.</t>
  </si>
  <si>
    <t>How it works — the Subsetra Lite formula explained</t>
  </si>
  <si>
    <t>OVERVIEW</t>
  </si>
  <si>
    <t>PRINCIPLE 1 — Work in integer 'cents' (exact money math)</t>
  </si>
  <si>
    <t>Floating-point money math is unreliable (0.10 + 0.20 is not exactly 0.30). Every amount and the target are multiplied by 100 and ROUNDed to whole numbers, so all comparisons are exact integer arithmetic.    LET vars: tgtI, intsAll.</t>
  </si>
  <si>
    <t>PRINCIPLE 2 — Pre-filter</t>
  </si>
  <si>
    <t>Items larger than the target (in cents) are dropped up front with FILTER, which shrinks n.    LET vars: keepMask, ints, origs.    (Simplifying assumption for the demo: strictly valid only for positive amounts; with negatives, a large item could in theory be offset by negative ones.)</t>
  </si>
  <si>
    <t>PRINCIPLE 3 — Enumerate every subset as a bit mask</t>
  </si>
  <si>
    <t>With n items there are 2^n - 1 non-empty subsets. SEQUENCE(2^n - 1) lists them as the integers 1..M; the binary digits of each integer say which items are in that subset. MOD(INT(mask / 2^(col-1)), 2) expands the masks into an M-by-n matrix of 0/1 bits.    LET vars: M, masks, cols, bits.</t>
  </si>
  <si>
    <t>PRINCIPLE 4 — Score all subsets at once with MMULT  (the key idea)</t>
  </si>
  <si>
    <t>Two matrix multiplications score every subset simultaneously:</t>
  </si>
  <si>
    <t xml:space="preserve">    - subset size = bits x (a column of ones)   = MMULT(bits, ones)</t>
  </si>
  <si>
    <t xml:space="preserve">    - subset sum  = bits x (the sorted amounts)  = MMULT(bits, sInts)</t>
  </si>
  <si>
    <t>This is the heart of the formula: instead of looping, a single MMULT computes all 2^n subset sums in one step.    LET vars: pc (sizes), sums.</t>
  </si>
  <si>
    <t>PRINCIPLE 5 — Keep exact matches within the size cap</t>
  </si>
  <si>
    <t>keep = (size &lt;= kMax) AND (sum = target). FILTER returns the row indices of the matching subsets.    LET vars: keep, hitIdx;  kMax = MIN(C2, n).</t>
  </si>
  <si>
    <t>PRINCIPLE 6 — Shortest solutions first</t>
  </si>
  <si>
    <t>SORTBY orders the matches by size ascending (ties broken by mask, for stable output), then TAKE keeps the first 10.    LET vars: ordIdx, topIdx.</t>
  </si>
  <si>
    <t>PRINCIPLE 7 — Render each solution as text</t>
  </si>
  <si>
    <t>For each kept mask, a LAMBDA (mkStr) rebuilds the chosen original amounts, sorts them descending, and TEXTJOINs them into 'a, b, c'. BYROW applies it to every solution. Finally HSTACK assembles the four output columns: number, item count, the amounts, and the verified sum.    LET vars: mkStr, strs.</t>
  </si>
  <si>
    <t>FUNCTIONS USED</t>
  </si>
  <si>
    <t>LET, LAMBDA, BYROW, FILTER, SORT, SORTBY, SEQUENCE, INDEX, MMULT, MOD, INT, ROUND, ROWS, MIN, TAKE, HSTACK, TEXTJOIN, IFERROR, and ANCHORARRAY (the # spilled-range reference used by the Info cells).</t>
  </si>
  <si>
    <t>WHY IT IS 'LITE' (limits)</t>
  </si>
  <si>
    <t>Project: https://github.com/dafnielad-lab/SubSetra      License: MIT</t>
  </si>
  <si>
    <t>This workbook is a formula-only demo of Subsetra. A single dynamic-array formula (Solver sheet, cell G2) explores subset-sum style matching — no macros, no add-ins.</t>
  </si>
  <si>
    <t>Amounts are matched to two decimal places (minor units). Positive values larger than the target may be filtered automatically as a heuristic optimization.</t>
  </si>
  <si>
    <t>The project originated from transaction reconciliation / grouped-entry matching workflows.</t>
  </si>
  <si>
    <t>Limitations: this demo enumerates all 2^n subsets, so it is practical only for short lists (roughly up to ~20 amounts). For larger datasets and more advanced pruning strategies, see the full Subsetra desktop project.</t>
  </si>
  <si>
    <t>The Solver sheet uses ONE dynamic-array formula (cell G2) — no macros, no helper columns, and no add-ins. It demonstrates a brute-force subset-sum style matching approach directly inside Excel by generating and evaluating combinations of the input amounts to find exact matches for a target value. The demo is designed for short normalized lists and educational / experimental use, illustrating both the power and the computational limits of formula-based exhaustive search in Excel.</t>
  </si>
  <si>
    <t>Brute force is O(2^n): n = 20 already means about 1 million rows, near Excel's practical calculation limit; beyond that it is not feasible. It is ideal for understanding the problem and for short lists. For larger datasets, the full Subsetra app uses integer branch-and-bound with a cents / whole-unit decomposition to avoid enumerating everything.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</si>
</sst>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₪&quot;\ * #,##0.00_ ;_ &quot;₪&quot;\ * \-#,##0.00_ ;_ &quot;₪&quot;\ * &quot;-&quot;??_ ;_ @_ "/>
    <numFmt numFmtId="43" formatCode="_ * #,##0.00_ ;_ * \-#,##0.00_ ;_ * &quot;-&quot;??_ ;_ @_ "/>
  </numFmts>
  <fonts count="3" x14ac:knownFonts="1">
    <font>
      <sz val="11"/>
      <color theme="1"/>
      <name val="Arial"/>
      <family val="2"/>
      <charset val="177"/>
      <scheme val="minor"/>
    </font>
    <font>
      <b/>
      <sz val="11"/>
      <color theme="0"/>
      <name val="Arial"/>
      <family val="2"/>
      <scheme val="minor"/>
    </font>
    <font>
      <sz val="11"/>
      <color theme="1"/>
      <name val="Arial"/>
      <family val="2"/>
      <charset val="177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8">
    <xf numFmtId="0" fontId="0" fillId="0" borderId="0" xfId="0"/>
    <xf numFmtId="44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3" fontId="0" fillId="0" borderId="8" xfId="1" applyNumberFormat="1" applyFont="1" applyBorder="1" applyAlignment="1">
      <alignment horizontal="center" vertical="center"/>
    </xf>
    <xf numFmtId="43" fontId="0" fillId="0" borderId="11" xfId="1" applyNumberFormat="1" applyFont="1" applyBorder="1" applyAlignment="1">
      <alignment horizontal="center" vertical="center"/>
    </xf>
    <xf numFmtId="43" fontId="0" fillId="0" borderId="2" xfId="0" applyNumberFormat="1" applyBorder="1"/>
    <xf numFmtId="43" fontId="0" fillId="0" borderId="3" xfId="0" applyNumberFormat="1" applyBorder="1"/>
    <xf numFmtId="0" fontId="0" fillId="0" borderId="0" xfId="0" applyAlignment="1">
      <alignment wrapText="1"/>
    </xf>
    <xf numFmtId="0" fontId="1" fillId="2" borderId="5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0" xfId="0" applyAlignment="1">
      <alignment horizontal="left"/>
    </xf>
    <xf numFmtId="44" fontId="0" fillId="0" borderId="0" xfId="1" applyFont="1" applyAlignment="1">
      <alignment horizontal="center"/>
    </xf>
    <xf numFmtId="44" fontId="1" fillId="2" borderId="1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0" fontId="1" fillId="2" borderId="4" xfId="0" applyFont="1" applyFill="1" applyBorder="1" applyAlignment="1">
      <alignment horizontal="center" vertical="center" readingOrder="1"/>
    </xf>
    <xf numFmtId="0" fontId="1" fillId="2" borderId="5" xfId="0" applyFont="1" applyFill="1" applyBorder="1" applyAlignment="1">
      <alignment horizontal="center" vertical="center" readingOrder="1"/>
    </xf>
    <xf numFmtId="44" fontId="1" fillId="2" borderId="6" xfId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43" fontId="0" fillId="0" borderId="3" xfId="0" applyNumberFormat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BFA6BE6-0AE3-49BA-BBC9-5A00CA5AB7D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cb65940-c7b5-4bd9-af34-e854442d481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696F3-9F4A-4D1A-9B2C-D64FDA9117D1}">
  <dimension ref="A1:J19"/>
  <sheetViews>
    <sheetView tabSelected="1" workbookViewId="0">
      <selection activeCell="A2" sqref="A2"/>
    </sheetView>
  </sheetViews>
  <sheetFormatPr defaultRowHeight="14.25" x14ac:dyDescent="0.2"/>
  <cols>
    <col min="1" max="1" width="15.5" style="1" bestFit="1" customWidth="1"/>
    <col min="2" max="2" width="3.125" customWidth="1"/>
    <col min="3" max="3" width="17.375" style="25" bestFit="1" customWidth="1"/>
    <col min="4" max="4" width="3.125" customWidth="1"/>
    <col min="5" max="5" width="85.5" bestFit="1" customWidth="1"/>
    <col min="6" max="6" width="3.125" customWidth="1"/>
    <col min="7" max="7" width="10.5" customWidth="1"/>
    <col min="8" max="8" width="9.625" customWidth="1"/>
    <col min="9" max="9" width="29.25" style="17" customWidth="1"/>
    <col min="10" max="10" width="10.25" style="18" customWidth="1"/>
  </cols>
  <sheetData>
    <row r="1" spans="1:10" s="20" customFormat="1" ht="34.5" customHeight="1" x14ac:dyDescent="0.2">
      <c r="A1" s="19" t="s">
        <v>0</v>
      </c>
      <c r="C1" s="24" t="s">
        <v>6</v>
      </c>
      <c r="E1" s="24" t="s">
        <v>7</v>
      </c>
      <c r="G1" s="21" t="s">
        <v>2</v>
      </c>
      <c r="H1" s="22" t="s">
        <v>3</v>
      </c>
      <c r="I1" s="14" t="s">
        <v>4</v>
      </c>
      <c r="J1" s="23" t="s">
        <v>5</v>
      </c>
    </row>
    <row r="2" spans="1:10" x14ac:dyDescent="0.2">
      <c r="A2" s="11">
        <v>-50</v>
      </c>
      <c r="C2" s="4">
        <v>8</v>
      </c>
      <c r="E2" s="2" t="str">
        <f>IFERROR("Total solutions found: "&amp;ROWS(_xlfn.ANCHORARRAY(G2))&amp;" (out of a maximum of 10)","No solutions")</f>
        <v>Total solutions found: 10 (out of a maximum of 10)</v>
      </c>
      <c r="G2" s="5" cm="1">
        <f t="array" ref="G2:J11">_xlfn.LET(_xlpm.raw,_xlfn._xlws.FILTER(A2:A1000,A2:A1000&lt;&gt;""),_xlpm.tgt,C6,_xlpm.tgtI,ROUND(_xlpm.tgt*100,0),_xlpm.intsAll,ROUND(_xlpm.raw*100,0),_xlpm.keepMask,_xlpm.intsAll&lt;=_xlpm.tgtI,_xlpm.ints,_xlfn._xlws.FILTER(_xlpm.intsAll,_xlpm.keepMask),_xlpm.origs,_xlfn._xlws.FILTER(_xlpm.raw,_xlpm.keepMask),_xlpm.n,ROWS(_xlpm.ints),_xlpm.kMax,MIN(C2,_xlpm.n),_xlpm.sortIdx,_xlfn.SORTBY(_xlfn.SEQUENCE(_xlpm.n),_xlpm.ints,-1),_xlpm.sInts,INDEX(_xlpm.ints,_xlpm.sortIdx),_xlpm.sOrigs,INDEX(_xlpm.origs,_xlpm.sortIdx),_xlpm.M,2^_xlpm.n-1,_xlpm.masks,_xlfn.SEQUENCE(_xlpm.M),_xlpm.cols,_xlfn.SEQUENCE(1,_xlpm.n),_xlpm.bits,MOD(INT(_xlpm.masks/2^(_xlpm.cols-1)),2),_xlpm.pc,MMULT(_xlpm.bits,_xlfn.SEQUENCE(_xlpm.n,1,1,0)),_xlpm.sums,MMULT(_xlpm.bits,_xlpm.sInts),_xlpm.keep,(_xlpm.pc&lt;=_xlpm.kMax)*(_xlpm.sums=_xlpm.tgtI),_xlpm.rowIdx,_xlfn.SEQUENCE(_xlpm.M),_xlpm.hitIdx,IFERROR(_xlfn._xlws.FILTER(_xlpm.rowIdx,_xlpm.keep=1),0),_xlpm.hitPc,INDEX(_xlpm.pc,_xlpm.hitIdx),_xlpm.hitMasks,INDEX(_xlpm.masks,_xlpm.hitIdx),_xlpm.ordIdx,_xlfn.SORTBY(_xlfn.SEQUENCE(ROWS(_xlpm.hitIdx)),_xlpm.hitPc,1,_xlpm.hitMasks,-1),_xlpm.topIdx,_xlfn.TAKE(INDEX(_xlpm.hitIdx,_xlpm.ordIdx),10),_xlpm.topPc,INDEX(_xlpm.pc,_xlpm.topIdx),_xlpm.topSums,INDEX(_xlpm.sums,_xlpm.topIdx)/100,_xlpm.cnt,ROWS(_xlpm.topIdx),_xlpm.topMasksOrd,INDEX(_xlpm.masks,_xlpm.topIdx),_xlpm.mkStr,_xlfn.LAMBDA(_xlpm.m,_xlfn.LET(_xlpm.bCol,MOD(INT(_xlpm.m/2^(_xlfn.SEQUENCE(_xlpm.n)-1)),2),_xlpm.picked,_xlfn._xlws.FILTER(_xlpm.sOrigs,_xlpm.bCol=1),_xlpm.pickedDesc,_xlfn._xlws.SORT(_xlpm.picked,,-1),_xlfn.TEXTJOIN(", ",TRUE,_xlpm.pickedDesc))),_xlpm.strs,_xlfn.BYROW(_xlpm.topMasksOrd,_xlfn.LAMBDA(_xlpm.r,_xlpm.mkStr(_xlpm.r))),_xlpm.nums,_xlfn.SEQUENCE(_xlpm.cnt),_xlfn.HSTACK(_xlpm.nums,_xlpm.topPc,_xlpm.strs,_xlpm.topSums))</f>
        <v>1</v>
      </c>
      <c r="H2" s="6">
        <v>4</v>
      </c>
      <c r="I2" s="15" t="str">
        <v>45, 33, 7, -6</v>
      </c>
      <c r="J2" s="9">
        <v>79</v>
      </c>
    </row>
    <row r="3" spans="1:10" x14ac:dyDescent="0.2">
      <c r="A3" s="11">
        <v>-9</v>
      </c>
      <c r="E3" s="2" t="str">
        <f>IF(ROWS(_xlfn.ANCHORARRAY(G2))&gt;=10,"If 10 solutions are shown there may be more — more information is needed to identify the correct one.","")</f>
        <v>If 10 solutions are shown there may be more — more information is needed to identify the correct one.</v>
      </c>
      <c r="G3" s="5">
        <v>2</v>
      </c>
      <c r="H3" s="6">
        <v>4</v>
      </c>
      <c r="I3" s="15" t="str">
        <v>45, 16, 11, 7</v>
      </c>
      <c r="J3" s="9">
        <v>79</v>
      </c>
    </row>
    <row r="4" spans="1:10" x14ac:dyDescent="0.2">
      <c r="A4" s="11">
        <v>-8</v>
      </c>
      <c r="E4" s="3" t="str" cm="1">
        <f t="array" ref="E4">"Values pre-filtered (larger than the target): "&amp;SUMPRODUCT(--(ROUND(_xlfn._xlws.FILTER(A2:A1000,A2:A1000&lt;&gt;"")*100,0)&gt;ROUND(C6*100,0)))</f>
        <v>Values pre-filtered (larger than the target): 2</v>
      </c>
      <c r="G4" s="5">
        <v>3</v>
      </c>
      <c r="H4" s="6">
        <v>4</v>
      </c>
      <c r="I4" s="15" t="str">
        <v>33, 16, 15, 15</v>
      </c>
      <c r="J4" s="9">
        <v>79</v>
      </c>
    </row>
    <row r="5" spans="1:10" ht="15" x14ac:dyDescent="0.25">
      <c r="A5" s="11">
        <v>-7</v>
      </c>
      <c r="C5" s="26" t="s">
        <v>1</v>
      </c>
      <c r="G5" s="5">
        <v>4</v>
      </c>
      <c r="H5" s="6">
        <v>5</v>
      </c>
      <c r="I5" s="15" t="str">
        <v>45, 33, 16, -6, -9</v>
      </c>
      <c r="J5" s="9">
        <v>79</v>
      </c>
    </row>
    <row r="6" spans="1:10" x14ac:dyDescent="0.2">
      <c r="A6" s="11">
        <v>-6</v>
      </c>
      <c r="C6" s="27">
        <v>79</v>
      </c>
      <c r="G6" s="5">
        <v>5</v>
      </c>
      <c r="H6" s="6">
        <v>5</v>
      </c>
      <c r="I6" s="15" t="str">
        <v>45, 33, 15, -5, -9</v>
      </c>
      <c r="J6" s="9">
        <v>79</v>
      </c>
    </row>
    <row r="7" spans="1:10" x14ac:dyDescent="0.2">
      <c r="A7" s="11">
        <v>-5</v>
      </c>
      <c r="G7" s="5">
        <v>6</v>
      </c>
      <c r="H7" s="6">
        <v>5</v>
      </c>
      <c r="I7" s="15" t="str">
        <v>45, 33, 15, -5, -9</v>
      </c>
      <c r="J7" s="9">
        <v>79</v>
      </c>
    </row>
    <row r="8" spans="1:10" x14ac:dyDescent="0.2">
      <c r="A8" s="11">
        <v>-3</v>
      </c>
      <c r="G8" s="5">
        <v>7</v>
      </c>
      <c r="H8" s="6">
        <v>5</v>
      </c>
      <c r="I8" s="15" t="str">
        <v>45, 33, 11, -1, -9</v>
      </c>
      <c r="J8" s="9">
        <v>79</v>
      </c>
    </row>
    <row r="9" spans="1:10" x14ac:dyDescent="0.2">
      <c r="A9" s="11">
        <v>-2</v>
      </c>
      <c r="G9" s="5">
        <v>8</v>
      </c>
      <c r="H9" s="6">
        <v>5</v>
      </c>
      <c r="I9" s="15" t="str">
        <v>45, 33, 16, -7, -8</v>
      </c>
      <c r="J9" s="9">
        <v>79</v>
      </c>
    </row>
    <row r="10" spans="1:10" x14ac:dyDescent="0.2">
      <c r="A10" s="11">
        <v>-1</v>
      </c>
      <c r="G10" s="5">
        <v>9</v>
      </c>
      <c r="H10" s="6">
        <v>5</v>
      </c>
      <c r="I10" s="15" t="str">
        <v>45, 33, 15, -6, -8</v>
      </c>
      <c r="J10" s="9">
        <v>79</v>
      </c>
    </row>
    <row r="11" spans="1:10" x14ac:dyDescent="0.2">
      <c r="A11" s="11">
        <v>7</v>
      </c>
      <c r="G11" s="7">
        <v>10</v>
      </c>
      <c r="H11" s="8">
        <v>5</v>
      </c>
      <c r="I11" s="16" t="str">
        <v>45, 33, 15, -6, -8</v>
      </c>
      <c r="J11" s="10">
        <v>79</v>
      </c>
    </row>
    <row r="12" spans="1:10" x14ac:dyDescent="0.2">
      <c r="A12" s="11">
        <v>11</v>
      </c>
    </row>
    <row r="13" spans="1:10" x14ac:dyDescent="0.2">
      <c r="A13" s="11">
        <v>15</v>
      </c>
    </row>
    <row r="14" spans="1:10" x14ac:dyDescent="0.2">
      <c r="A14" s="11">
        <v>15</v>
      </c>
    </row>
    <row r="15" spans="1:10" x14ac:dyDescent="0.2">
      <c r="A15" s="11">
        <v>16</v>
      </c>
    </row>
    <row r="16" spans="1:10" x14ac:dyDescent="0.2">
      <c r="A16" s="11">
        <v>33</v>
      </c>
    </row>
    <row r="17" spans="1:1" x14ac:dyDescent="0.2">
      <c r="A17" s="11">
        <v>45</v>
      </c>
    </row>
    <row r="18" spans="1:1" x14ac:dyDescent="0.2">
      <c r="A18" s="11">
        <v>130</v>
      </c>
    </row>
    <row r="19" spans="1:1" x14ac:dyDescent="0.2">
      <c r="A19" s="12">
        <v>500</v>
      </c>
    </row>
  </sheetData>
  <autoFilter ref="A1:A19" xr:uid="{CCB696F3-9F4A-4D1A-9B2C-D64FDA9117D1}">
    <sortState xmlns:xlrd2="http://schemas.microsoft.com/office/spreadsheetml/2017/richdata2" ref="A2:A19">
      <sortCondition ref="A1:A1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workbookViewId="0">
      <selection activeCell="A27" sqref="A27"/>
    </sheetView>
  </sheetViews>
  <sheetFormatPr defaultRowHeight="14.25" x14ac:dyDescent="0.2"/>
  <cols>
    <col min="1" max="1" width="168.375" bestFit="1" customWidth="1"/>
  </cols>
  <sheetData>
    <row r="1" spans="1:1" x14ac:dyDescent="0.2">
      <c r="A1" t="s">
        <v>8</v>
      </c>
    </row>
    <row r="3" spans="1:1" x14ac:dyDescent="0.2">
      <c r="A3" t="s">
        <v>40</v>
      </c>
    </row>
    <row r="5" spans="1:1" x14ac:dyDescent="0.2">
      <c r="A5" t="s">
        <v>42</v>
      </c>
    </row>
    <row r="7" spans="1:1" x14ac:dyDescent="0.2">
      <c r="A7" t="s">
        <v>9</v>
      </c>
    </row>
    <row r="8" spans="1:1" x14ac:dyDescent="0.2">
      <c r="A8" t="s">
        <v>10</v>
      </c>
    </row>
    <row r="9" spans="1:1" x14ac:dyDescent="0.2">
      <c r="A9" t="s">
        <v>11</v>
      </c>
    </row>
    <row r="10" spans="1:1" x14ac:dyDescent="0.2">
      <c r="A10" t="s">
        <v>12</v>
      </c>
    </row>
    <row r="11" spans="1:1" x14ac:dyDescent="0.2">
      <c r="A11" t="s">
        <v>13</v>
      </c>
    </row>
    <row r="13" spans="1:1" x14ac:dyDescent="0.2">
      <c r="A13" t="s">
        <v>14</v>
      </c>
    </row>
    <row r="15" spans="1:1" x14ac:dyDescent="0.2">
      <c r="A15" t="s">
        <v>43</v>
      </c>
    </row>
    <row r="17" spans="1:1" x14ac:dyDescent="0.2">
      <c r="A17" t="s">
        <v>41</v>
      </c>
    </row>
    <row r="19" spans="1:1" x14ac:dyDescent="0.2">
      <c r="A19" t="s">
        <v>15</v>
      </c>
    </row>
    <row r="20" spans="1:1" x14ac:dyDescent="0.2">
      <c r="A20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6"/>
  <sheetViews>
    <sheetView topLeftCell="A20" workbookViewId="0">
      <selection activeCell="A38" sqref="A38"/>
    </sheetView>
  </sheetViews>
  <sheetFormatPr defaultRowHeight="14.25" x14ac:dyDescent="0.2"/>
  <cols>
    <col min="1" max="1" width="120" style="13" customWidth="1"/>
  </cols>
  <sheetData>
    <row r="1" spans="1:1" x14ac:dyDescent="0.2">
      <c r="A1" s="13" t="s">
        <v>17</v>
      </c>
    </row>
    <row r="3" spans="1:1" x14ac:dyDescent="0.2">
      <c r="A3" s="13" t="s">
        <v>18</v>
      </c>
    </row>
    <row r="4" spans="1:1" ht="57" x14ac:dyDescent="0.2">
      <c r="A4" s="13" t="s">
        <v>44</v>
      </c>
    </row>
    <row r="6" spans="1:1" x14ac:dyDescent="0.2">
      <c r="A6" s="13" t="s">
        <v>19</v>
      </c>
    </row>
    <row r="7" spans="1:1" ht="28.5" x14ac:dyDescent="0.2">
      <c r="A7" s="13" t="s">
        <v>20</v>
      </c>
    </row>
    <row r="9" spans="1:1" x14ac:dyDescent="0.2">
      <c r="A9" s="13" t="s">
        <v>21</v>
      </c>
    </row>
    <row r="10" spans="1:1" ht="28.5" x14ac:dyDescent="0.2">
      <c r="A10" s="13" t="s">
        <v>22</v>
      </c>
    </row>
    <row r="12" spans="1:1" x14ac:dyDescent="0.2">
      <c r="A12" s="13" t="s">
        <v>23</v>
      </c>
    </row>
    <row r="13" spans="1:1" ht="33" customHeight="1" x14ac:dyDescent="0.2">
      <c r="A13" s="13" t="s">
        <v>24</v>
      </c>
    </row>
    <row r="15" spans="1:1" x14ac:dyDescent="0.2">
      <c r="A15" s="13" t="s">
        <v>25</v>
      </c>
    </row>
    <row r="16" spans="1:1" x14ac:dyDescent="0.2">
      <c r="A16" s="13" t="s">
        <v>26</v>
      </c>
    </row>
    <row r="17" spans="1:1" x14ac:dyDescent="0.2">
      <c r="A17" s="13" t="s">
        <v>27</v>
      </c>
    </row>
    <row r="18" spans="1:1" x14ac:dyDescent="0.2">
      <c r="A18" s="13" t="s">
        <v>28</v>
      </c>
    </row>
    <row r="19" spans="1:1" x14ac:dyDescent="0.2">
      <c r="A19" s="13" t="s">
        <v>29</v>
      </c>
    </row>
    <row r="21" spans="1:1" x14ac:dyDescent="0.2">
      <c r="A21" s="13" t="s">
        <v>30</v>
      </c>
    </row>
    <row r="22" spans="1:1" ht="28.5" x14ac:dyDescent="0.2">
      <c r="A22" s="13" t="s">
        <v>31</v>
      </c>
    </row>
    <row r="24" spans="1:1" x14ac:dyDescent="0.2">
      <c r="A24" s="13" t="s">
        <v>32</v>
      </c>
    </row>
    <row r="25" spans="1:1" ht="28.5" x14ac:dyDescent="0.2">
      <c r="A25" s="13" t="s">
        <v>33</v>
      </c>
    </row>
    <row r="27" spans="1:1" x14ac:dyDescent="0.2">
      <c r="A27" s="13" t="s">
        <v>34</v>
      </c>
    </row>
    <row r="28" spans="1:1" ht="42.75" x14ac:dyDescent="0.2">
      <c r="A28" s="13" t="s">
        <v>35</v>
      </c>
    </row>
    <row r="30" spans="1:1" x14ac:dyDescent="0.2">
      <c r="A30" s="13" t="s">
        <v>36</v>
      </c>
    </row>
    <row r="31" spans="1:1" ht="28.5" x14ac:dyDescent="0.2">
      <c r="A31" s="13" t="s">
        <v>37</v>
      </c>
    </row>
    <row r="33" spans="1:1" x14ac:dyDescent="0.2">
      <c r="A33" s="13" t="s">
        <v>38</v>
      </c>
    </row>
    <row r="34" spans="1:1" ht="42.75" x14ac:dyDescent="0.2">
      <c r="A34" s="13" t="s">
        <v>45</v>
      </c>
    </row>
    <row r="36" spans="1:1" x14ac:dyDescent="0.2">
      <c r="A36" s="13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Solver</vt:lpstr>
      <vt:lpstr>README</vt:lpstr>
      <vt:lpstr>How it works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Elad.d Layogev</dc:creator>
  <cp:lastModifiedBy>Elad.d Layogev</cp:lastModifiedBy>
  <dcterms:created xsi:type="dcterms:W3CDTF">2026-05-22T05:58:46Z</dcterms:created>
  <dcterms:modified xsi:type="dcterms:W3CDTF">2026-05-23T10:44:44Z</dcterms:modified>
</cp:coreProperties>
</file>